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255"/>
  </bookViews>
  <sheets>
    <sheet name="Sayf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<sst xmlns="http://schemas.openxmlformats.org/spreadsheetml/2006/main" count="466" uniqueCount="239">
  <si>
    <t>YIL</t>
  </si>
  <si>
    <t>AY</t>
  </si>
  <si>
    <t>CO2 ppm</t>
  </si>
  <si>
    <t>Arındırılmış</t>
  </si>
  <si>
    <t>Ölçüm günü sayısı</t>
  </si>
  <si>
    <t>STD</t>
  </si>
  <si>
    <t>Belirsizlik</t>
  </si>
  <si>
    <t>TARİH</t>
  </si>
  <si>
    <t>1.</t>
  </si>
  <si>
    <t>Yıllık ortalama*</t>
  </si>
  <si>
    <t>Artış (ppm)</t>
  </si>
  <si>
    <t>333.79</t>
  </si>
  <si>
    <t>0.40</t>
  </si>
  <si>
    <t>0.16</t>
  </si>
  <si>
    <t>----</t>
  </si>
  <si>
    <t>*</t>
  </si>
  <si>
    <t>334.01</t>
  </si>
  <si>
    <t>0.23</t>
  </si>
  <si>
    <t>0.10</t>
  </si>
  <si>
    <t>333.91</t>
  </si>
  <si>
    <t>0.46</t>
  </si>
  <si>
    <t>0.21</t>
  </si>
  <si>
    <t>*Veri Haziran 1977 – Haziran 1989 aralığıdır. 1977 yılı 7 ay (Haz–Ara), 1989 yılı (Oca–Haz) içerir.</t>
  </si>
  <si>
    <t>334.36</t>
  </si>
  <si>
    <t>0.20</t>
  </si>
  <si>
    <t>334.51</t>
  </si>
  <si>
    <t>0.29</t>
  </si>
  <si>
    <t>0.12</t>
  </si>
  <si>
    <t>334.68</t>
  </si>
  <si>
    <t>0.43</t>
  </si>
  <si>
    <t>0.18</t>
  </si>
  <si>
    <t>334.58</t>
  </si>
  <si>
    <t>0.36</t>
  </si>
  <si>
    <t>0.14</t>
  </si>
  <si>
    <t>335.01</t>
  </si>
  <si>
    <t>0.52</t>
  </si>
  <si>
    <t>334.60</t>
  </si>
  <si>
    <t>0.50</t>
  </si>
  <si>
    <t>0.19</t>
  </si>
  <si>
    <t>335.00</t>
  </si>
  <si>
    <t>0.59</t>
  </si>
  <si>
    <t>335.07</t>
  </si>
  <si>
    <t>0.44</t>
  </si>
  <si>
    <t>335.08</t>
  </si>
  <si>
    <t>0.17</t>
  </si>
  <si>
    <t>335.60</t>
  </si>
  <si>
    <t>0.31</t>
  </si>
  <si>
    <t>0.15</t>
  </si>
  <si>
    <t>---</t>
  </si>
  <si>
    <t>335.65</t>
  </si>
  <si>
    <t>0.32</t>
  </si>
  <si>
    <t>335.87</t>
  </si>
  <si>
    <t xml:space="preserve">12 yılın ortalaması </t>
  </si>
  <si>
    <t xml:space="preserve"> 1,61 ppm</t>
  </si>
  <si>
    <t>335.51</t>
  </si>
  <si>
    <t>0.75</t>
  </si>
  <si>
    <t>0.35</t>
  </si>
  <si>
    <t>335.72</t>
  </si>
  <si>
    <t>0.34</t>
  </si>
  <si>
    <t>335.99</t>
  </si>
  <si>
    <t>0.25</t>
  </si>
  <si>
    <t>2.  min maks değerler</t>
  </si>
  <si>
    <t xml:space="preserve">Min değer </t>
  </si>
  <si>
    <t>Ekim 1977</t>
  </si>
  <si>
    <t>0.33</t>
  </si>
  <si>
    <t>Maks değer</t>
  </si>
  <si>
    <t>Mayıs 1989</t>
  </si>
  <si>
    <t>336.22</t>
  </si>
  <si>
    <t>0.55</t>
  </si>
  <si>
    <t>336.00</t>
  </si>
  <si>
    <t>0.30</t>
  </si>
  <si>
    <t>0.11</t>
  </si>
  <si>
    <t>3. Grafikler</t>
  </si>
  <si>
    <t>336.56</t>
  </si>
  <si>
    <t>0.63</t>
  </si>
  <si>
    <t>0.26</t>
  </si>
  <si>
    <t>ilk grafik ortalamalardan edinilmiştir</t>
  </si>
  <si>
    <t>ikinci grafik verilerin direkt işlenmesiyle edinilmiştir</t>
  </si>
  <si>
    <t>336.11</t>
  </si>
  <si>
    <t>0.67</t>
  </si>
  <si>
    <t>336.24</t>
  </si>
  <si>
    <t>0.22</t>
  </si>
  <si>
    <t>336.83</t>
  </si>
  <si>
    <t>336.69</t>
  </si>
  <si>
    <t>337.20</t>
  </si>
  <si>
    <t>0.60</t>
  </si>
  <si>
    <t>337.19</t>
  </si>
  <si>
    <t>0.65</t>
  </si>
  <si>
    <t>337.57</t>
  </si>
  <si>
    <t>0.42</t>
  </si>
  <si>
    <t>337.59</t>
  </si>
  <si>
    <t>337.83</t>
  </si>
  <si>
    <t>0.09</t>
  </si>
  <si>
    <t>338.13</t>
  </si>
  <si>
    <t>0.57</t>
  </si>
  <si>
    <t>337.85</t>
  </si>
  <si>
    <t>0.49</t>
  </si>
  <si>
    <t>338.51</t>
  </si>
  <si>
    <t>0.54</t>
  </si>
  <si>
    <t>338.31</t>
  </si>
  <si>
    <t>338.40</t>
  </si>
  <si>
    <t>338.85</t>
  </si>
  <si>
    <t>0.39</t>
  </si>
  <si>
    <t>338.56</t>
  </si>
  <si>
    <t>339.07</t>
  </si>
  <si>
    <t>339.38</t>
  </si>
  <si>
    <t>0.69</t>
  </si>
  <si>
    <t>339.40</t>
  </si>
  <si>
    <t>339.46</t>
  </si>
  <si>
    <t>4. kişisel yorumum</t>
  </si>
  <si>
    <t>339.26</t>
  </si>
  <si>
    <t>Grafikte yıllık ortalama sürekli yükselirken, aylık değerlerde her yıl tekrarlayan bir aşağı yukarı dalgalanma dikkatimi çekti. Bunun mevsimlere göre bitkilerin fotosentez yapmasındaki farktan kaynaklandığını düşünüyorum, çünkü değerler yazın düşüp kışın ve ilkbaharda yükseliyor. Sürekli artışın ise sanayi ve fosil yakıt kullanımı gibi insan faaliyetlerinden kaynaklanabileceğini düşünüyorum. Verilere göre 12 yılda ortalama artış yılda yaklaşık 1,61 ppm.</t>
  </si>
  <si>
    <t>339.42</t>
  </si>
  <si>
    <t>339.98</t>
  </si>
  <si>
    <t>Emre Yavuz ERTAN</t>
  </si>
  <si>
    <t>340.08</t>
  </si>
  <si>
    <t>0.48</t>
  </si>
  <si>
    <t>052680035</t>
  </si>
  <si>
    <t>Meteoroloji dersi</t>
  </si>
  <si>
    <t>339.97</t>
  </si>
  <si>
    <t>0.07</t>
  </si>
  <si>
    <t>340.06</t>
  </si>
  <si>
    <t>339.92</t>
  </si>
  <si>
    <t>339.87</t>
  </si>
  <si>
    <t>340.17</t>
  </si>
  <si>
    <t>340.39</t>
  </si>
  <si>
    <t>340.75</t>
  </si>
  <si>
    <t>340.85</t>
  </si>
  <si>
    <t>0.28</t>
  </si>
  <si>
    <t>341.09</t>
  </si>
  <si>
    <t>341.16</t>
  </si>
  <si>
    <t>341.18</t>
  </si>
  <si>
    <t>0.41</t>
  </si>
  <si>
    <t>341.32</t>
  </si>
  <si>
    <t>341.67</t>
  </si>
  <si>
    <t>0.37</t>
  </si>
  <si>
    <t>341.43</t>
  </si>
  <si>
    <t>341.61</t>
  </si>
  <si>
    <t>0.13</t>
  </si>
  <si>
    <t>341.64</t>
  </si>
  <si>
    <t>0.61</t>
  </si>
  <si>
    <t>341.56</t>
  </si>
  <si>
    <t>341.77</t>
  </si>
  <si>
    <t>341.59</t>
  </si>
  <si>
    <t>341.71</t>
  </si>
  <si>
    <t>341.75</t>
  </si>
  <si>
    <t>0.47</t>
  </si>
  <si>
    <t>342.25</t>
  </si>
  <si>
    <t>341.85</t>
  </si>
  <si>
    <t>0.88</t>
  </si>
  <si>
    <t>342.76</t>
  </si>
  <si>
    <t>342.97</t>
  </si>
  <si>
    <t>0.51</t>
  </si>
  <si>
    <t>343.30</t>
  </si>
  <si>
    <t>343.56</t>
  </si>
  <si>
    <t>343.89</t>
  </si>
  <si>
    <t>0.73</t>
  </si>
  <si>
    <t>343.59</t>
  </si>
  <si>
    <t>343.86</t>
  </si>
  <si>
    <t>343.92</t>
  </si>
  <si>
    <t>344.12</t>
  </si>
  <si>
    <t>344.32</t>
  </si>
  <si>
    <t>344.39</t>
  </si>
  <si>
    <t>344.26</t>
  </si>
  <si>
    <t>344.75</t>
  </si>
  <si>
    <t>-9.99</t>
  </si>
  <si>
    <t>0.00</t>
  </si>
  <si>
    <t>344.59</t>
  </si>
  <si>
    <t>344.73</t>
  </si>
  <si>
    <t>345.02</t>
  </si>
  <si>
    <t>345.12</t>
  </si>
  <si>
    <t>0.45</t>
  </si>
  <si>
    <t>344.76</t>
  </si>
  <si>
    <t>0.72</t>
  </si>
  <si>
    <t>345.19</t>
  </si>
  <si>
    <t>345.41</t>
  </si>
  <si>
    <t>345.88</t>
  </si>
  <si>
    <t>0.53</t>
  </si>
  <si>
    <t>0.27</t>
  </si>
  <si>
    <t>345.59</t>
  </si>
  <si>
    <t>0.38</t>
  </si>
  <si>
    <t>345.92</t>
  </si>
  <si>
    <t>346.56</t>
  </si>
  <si>
    <t>346.08</t>
  </si>
  <si>
    <t>346.12</t>
  </si>
  <si>
    <t>346.23</t>
  </si>
  <si>
    <t>346.57</t>
  </si>
  <si>
    <t>346.59</t>
  </si>
  <si>
    <t>346.60</t>
  </si>
  <si>
    <t>346.82</t>
  </si>
  <si>
    <t>347.04</t>
  </si>
  <si>
    <t>0.62</t>
  </si>
  <si>
    <t>346.98</t>
  </si>
  <si>
    <t>346.93</t>
  </si>
  <si>
    <t>0.70</t>
  </si>
  <si>
    <t>347.29</t>
  </si>
  <si>
    <t>347.42</t>
  </si>
  <si>
    <t>347.61</t>
  </si>
  <si>
    <t>347.43</t>
  </si>
  <si>
    <t>347.51</t>
  </si>
  <si>
    <t>348.61</t>
  </si>
  <si>
    <t>348.04</t>
  </si>
  <si>
    <t>348.28</t>
  </si>
  <si>
    <t>348.36</t>
  </si>
  <si>
    <t>348.66</t>
  </si>
  <si>
    <t>348.24</t>
  </si>
  <si>
    <t>0.58</t>
  </si>
  <si>
    <t>348.39</t>
  </si>
  <si>
    <t>348.84</t>
  </si>
  <si>
    <t>0.68</t>
  </si>
  <si>
    <t>349.09</t>
  </si>
  <si>
    <t>349.29</t>
  </si>
  <si>
    <t>349.51</t>
  </si>
  <si>
    <t>349.65</t>
  </si>
  <si>
    <t>0.85</t>
  </si>
  <si>
    <t>349.85</t>
  </si>
  <si>
    <t>0.24</t>
  </si>
  <si>
    <t>349.96</t>
  </si>
  <si>
    <t>350.15</t>
  </si>
  <si>
    <t>350.14</t>
  </si>
  <si>
    <t>0.08</t>
  </si>
  <si>
    <t>350.49</t>
  </si>
  <si>
    <t>350.99</t>
  </si>
  <si>
    <t>0.78</t>
  </si>
  <si>
    <t>351.03</t>
  </si>
  <si>
    <t>351.22</t>
  </si>
  <si>
    <t>351.55</t>
  </si>
  <si>
    <t>352.16</t>
  </si>
  <si>
    <t>352.01</t>
  </si>
  <si>
    <t>352.18</t>
  </si>
  <si>
    <t>352.62</t>
  </si>
  <si>
    <t>352.53</t>
  </si>
  <si>
    <t>352.52</t>
  </si>
  <si>
    <t>352.99</t>
  </si>
  <si>
    <t>352.69</t>
  </si>
  <si>
    <t>352.60</t>
  </si>
  <si>
    <t>353.07</t>
  </si>
  <si>
    <t>352.78</t>
  </si>
  <si>
    <t>353.06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</si>
</sst>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6" formatCode="General"/>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m\ yyyy"/>
  </numFmts>
  <fonts count="22">
    <font>
      <sz val="11"/>
      <color theme="1"/>
      <name val="Calibri"/>
      <charset val="134"/>
      <scheme val="minor"/>
    </font>
    <font>
      <b/>
      <sz val="11"/>
      <color theme="0"/>
      <name val="Calibri"/>
      <charset val="134"/>
      <scheme val="minor"/>
    </font>
    <font>
      <b/>
      <sz val="11"/>
      <color theme="1"/>
      <name val="Calibri"/>
      <charset val="134"/>
      <scheme val="minor"/>
    </font>
    <font>
      <sz val="11"/>
      <color rgb="FF006100"/>
      <name val="Calibri"/>
      <charset val="0"/>
      <scheme val="minor"/>
    </font>
    <font>
      <sz val="11"/>
      <color rgb="FF9C0006"/>
      <name val="Calibri"/>
      <charset val="0"/>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C6EFCE"/>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theme="4"/>
      </left>
      <right style="thin">
        <color theme="4"/>
      </right>
      <top style="thin">
        <color theme="4"/>
      </top>
      <bottom style="thin">
        <color theme="0"/>
      </bottom>
      <diagonal/>
    </border>
    <border>
      <left style="thin">
        <color theme="4"/>
      </left>
      <right style="thin">
        <color theme="4" tint="0.399975585192419"/>
      </right>
      <top style="thin">
        <color theme="4"/>
      </top>
      <bottom style="thin">
        <color theme="4" tint="0.399975585192419"/>
      </bottom>
      <diagonal/>
    </border>
    <border>
      <left style="thin">
        <color theme="4" tint="0.399975585192419"/>
      </left>
      <right style="thin">
        <color theme="4"/>
      </right>
      <top style="thin">
        <color theme="4"/>
      </top>
      <bottom style="thin">
        <color theme="4" tint="0.399975585192419"/>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style="thin">
        <color theme="4"/>
      </right>
      <top style="thin">
        <color theme="0"/>
      </top>
      <bottom style="thin">
        <color theme="0"/>
      </bottom>
      <diagonal/>
    </border>
    <border>
      <left style="thin">
        <color theme="4"/>
      </left>
      <right style="thin">
        <color theme="4" tint="0.399975585192419"/>
      </right>
      <top style="thin">
        <color theme="4" tint="0.399975585192419"/>
      </top>
      <bottom style="thin">
        <color theme="4" tint="0.399975585192419"/>
      </bottom>
      <diagonal/>
    </border>
    <border>
      <left style="thin">
        <color theme="4" tint="0.399975585192419"/>
      </left>
      <right style="thin">
        <color theme="4"/>
      </right>
      <top style="thin">
        <color theme="4" tint="0.399975585192419"/>
      </top>
      <bottom style="thin">
        <color theme="4" tint="0.399975585192419"/>
      </bottom>
      <diagonal/>
    </border>
    <border>
      <left style="thin">
        <color theme="4"/>
      </left>
      <right/>
      <top/>
      <bottom/>
      <diagonal/>
    </border>
    <border>
      <left style="thin">
        <color theme="4"/>
      </left>
      <right style="thin">
        <color theme="4"/>
      </right>
      <top style="thin">
        <color theme="0"/>
      </top>
      <bottom style="thin">
        <color theme="4"/>
      </bottom>
      <diagonal/>
    </border>
    <border>
      <left style="thin">
        <color theme="4"/>
      </left>
      <right style="thin">
        <color theme="4" tint="0.399975585192419"/>
      </right>
      <top style="thin">
        <color theme="4" tint="0.399975585192419"/>
      </top>
      <bottom style="thin">
        <color theme="4"/>
      </bottom>
      <diagonal/>
    </border>
    <border>
      <left style="thin">
        <color theme="4" tint="0.399975585192419"/>
      </left>
      <right style="thin">
        <color theme="4"/>
      </right>
      <top style="thin">
        <color theme="4" tint="0.399975585192419"/>
      </top>
      <bottom style="thin">
        <color theme="4"/>
      </bottom>
      <diagonal/>
    </border>
    <border>
      <left style="thin">
        <color theme="4"/>
      </left>
      <right/>
      <top/>
      <bottom style="thin">
        <color theme="4"/>
      </bottom>
      <diagonal/>
    </border>
    <border>
      <left/>
      <right/>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26"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26" fontId="5" fillId="0" borderId="0" applyNumberFormat="0" applyFill="0" applyBorder="0" applyAlignment="0" applyProtection="0">
      <alignment vertical="center"/>
    </xf>
    <xf numFmtId="26" fontId="6" fillId="0" borderId="0" applyNumberFormat="0" applyFill="0" applyBorder="0" applyAlignment="0" applyProtection="0">
      <alignment vertical="center"/>
    </xf>
    <xf numFmtId="26" fontId="0" fillId="6" borderId="16" applyNumberFormat="0" applyFont="0" applyAlignment="0" applyProtection="0">
      <alignment vertical="center"/>
    </xf>
    <xf numFmtId="26" fontId="7" fillId="0" borderId="0" applyNumberFormat="0" applyFill="0" applyBorder="0" applyAlignment="0" applyProtection="0">
      <alignment vertical="center"/>
    </xf>
    <xf numFmtId="26" fontId="8" fillId="0" borderId="0" applyNumberFormat="0" applyFill="0" applyBorder="0" applyAlignment="0" applyProtection="0">
      <alignment vertical="center"/>
    </xf>
    <xf numFmtId="26" fontId="9" fillId="0" borderId="0" applyNumberFormat="0" applyFill="0" applyBorder="0" applyAlignment="0" applyProtection="0">
      <alignment vertical="center"/>
    </xf>
    <xf numFmtId="26" fontId="10" fillId="0" borderId="17" applyNumberFormat="0" applyFill="0" applyAlignment="0" applyProtection="0">
      <alignment vertical="center"/>
    </xf>
    <xf numFmtId="26" fontId="11" fillId="0" borderId="17" applyNumberFormat="0" applyFill="0" applyAlignment="0" applyProtection="0">
      <alignment vertical="center"/>
    </xf>
    <xf numFmtId="26" fontId="12" fillId="0" borderId="18" applyNumberFormat="0" applyFill="0" applyAlignment="0" applyProtection="0">
      <alignment vertical="center"/>
    </xf>
    <xf numFmtId="26" fontId="12" fillId="0" borderId="0" applyNumberFormat="0" applyFill="0" applyBorder="0" applyAlignment="0" applyProtection="0">
      <alignment vertical="center"/>
    </xf>
    <xf numFmtId="26" fontId="13" fillId="7" borderId="19" applyNumberFormat="0" applyAlignment="0" applyProtection="0">
      <alignment vertical="center"/>
    </xf>
    <xf numFmtId="26" fontId="14" fillId="8" borderId="20" applyNumberFormat="0" applyAlignment="0" applyProtection="0">
      <alignment vertical="center"/>
    </xf>
    <xf numFmtId="26" fontId="15" fillId="8" borderId="19" applyNumberFormat="0" applyAlignment="0" applyProtection="0">
      <alignment vertical="center"/>
    </xf>
    <xf numFmtId="26" fontId="16" fillId="9" borderId="21" applyNumberFormat="0" applyAlignment="0" applyProtection="0">
      <alignment vertical="center"/>
    </xf>
    <xf numFmtId="26" fontId="17" fillId="0" borderId="22" applyNumberFormat="0" applyFill="0" applyAlignment="0" applyProtection="0">
      <alignment vertical="center"/>
    </xf>
    <xf numFmtId="26" fontId="18" fillId="0" borderId="23" applyNumberFormat="0" applyFill="0" applyAlignment="0" applyProtection="0">
      <alignment vertical="center"/>
    </xf>
    <xf numFmtId="26" fontId="3" fillId="4" borderId="0" applyNumberFormat="0" applyBorder="0" applyAlignment="0" applyProtection="0">
      <alignment vertical="center"/>
    </xf>
    <xf numFmtId="26" fontId="4" fillId="5" borderId="0" applyNumberFormat="0" applyBorder="0" applyAlignment="0" applyProtection="0">
      <alignment vertical="center"/>
    </xf>
    <xf numFmtId="26" fontId="19" fillId="10" borderId="0" applyNumberFormat="0" applyBorder="0" applyAlignment="0" applyProtection="0">
      <alignment vertical="center"/>
    </xf>
    <xf numFmtId="26" fontId="20" fillId="11" borderId="0" applyNumberFormat="0" applyBorder="0" applyAlignment="0" applyProtection="0">
      <alignment vertical="center"/>
    </xf>
    <xf numFmtId="26" fontId="21" fillId="12" borderId="0" applyNumberFormat="0" applyBorder="0" applyAlignment="0" applyProtection="0">
      <alignment vertical="center"/>
    </xf>
    <xf numFmtId="26" fontId="21" fillId="13" borderId="0" applyNumberFormat="0" applyBorder="0" applyAlignment="0" applyProtection="0">
      <alignment vertical="center"/>
    </xf>
    <xf numFmtId="26" fontId="20" fillId="14" borderId="0" applyNumberFormat="0" applyBorder="0" applyAlignment="0" applyProtection="0">
      <alignment vertical="center"/>
    </xf>
    <xf numFmtId="26" fontId="20" fillId="15" borderId="0" applyNumberFormat="0" applyBorder="0" applyAlignment="0" applyProtection="0">
      <alignment vertical="center"/>
    </xf>
    <xf numFmtId="26" fontId="21" fillId="16" borderId="0" applyNumberFormat="0" applyBorder="0" applyAlignment="0" applyProtection="0">
      <alignment vertical="center"/>
    </xf>
    <xf numFmtId="26" fontId="21" fillId="17" borderId="0" applyNumberFormat="0" applyBorder="0" applyAlignment="0" applyProtection="0">
      <alignment vertical="center"/>
    </xf>
    <xf numFmtId="26" fontId="20" fillId="18" borderId="0" applyNumberFormat="0" applyBorder="0" applyAlignment="0" applyProtection="0">
      <alignment vertical="center"/>
    </xf>
    <xf numFmtId="26" fontId="20" fillId="19" borderId="0" applyNumberFormat="0" applyBorder="0" applyAlignment="0" applyProtection="0">
      <alignment vertical="center"/>
    </xf>
    <xf numFmtId="26" fontId="21" fillId="20" borderId="0" applyNumberFormat="0" applyBorder="0" applyAlignment="0" applyProtection="0">
      <alignment vertical="center"/>
    </xf>
    <xf numFmtId="26" fontId="21" fillId="21" borderId="0" applyNumberFormat="0" applyBorder="0" applyAlignment="0" applyProtection="0">
      <alignment vertical="center"/>
    </xf>
    <xf numFmtId="26" fontId="20" fillId="22" borderId="0" applyNumberFormat="0" applyBorder="0" applyAlignment="0" applyProtection="0">
      <alignment vertical="center"/>
    </xf>
    <xf numFmtId="26" fontId="20" fillId="23" borderId="0" applyNumberFormat="0" applyBorder="0" applyAlignment="0" applyProtection="0">
      <alignment vertical="center"/>
    </xf>
    <xf numFmtId="26" fontId="21" fillId="24" borderId="0" applyNumberFormat="0" applyBorder="0" applyAlignment="0" applyProtection="0">
      <alignment vertical="center"/>
    </xf>
    <xf numFmtId="26" fontId="21" fillId="25" borderId="0" applyNumberFormat="0" applyBorder="0" applyAlignment="0" applyProtection="0">
      <alignment vertical="center"/>
    </xf>
    <xf numFmtId="26" fontId="20" fillId="26" borderId="0" applyNumberFormat="0" applyBorder="0" applyAlignment="0" applyProtection="0">
      <alignment vertical="center"/>
    </xf>
    <xf numFmtId="26" fontId="20" fillId="27" borderId="0" applyNumberFormat="0" applyBorder="0" applyAlignment="0" applyProtection="0">
      <alignment vertical="center"/>
    </xf>
    <xf numFmtId="26" fontId="21" fillId="28" borderId="0" applyNumberFormat="0" applyBorder="0" applyAlignment="0" applyProtection="0">
      <alignment vertical="center"/>
    </xf>
    <xf numFmtId="26" fontId="21" fillId="29" borderId="0" applyNumberFormat="0" applyBorder="0" applyAlignment="0" applyProtection="0">
      <alignment vertical="center"/>
    </xf>
    <xf numFmtId="26" fontId="20" fillId="30" borderId="0" applyNumberFormat="0" applyBorder="0" applyAlignment="0" applyProtection="0">
      <alignment vertical="center"/>
    </xf>
    <xf numFmtId="26" fontId="20" fillId="31" borderId="0" applyNumberFormat="0" applyBorder="0" applyAlignment="0" applyProtection="0">
      <alignment vertical="center"/>
    </xf>
    <xf numFmtId="26" fontId="21" fillId="32" borderId="0" applyNumberFormat="0" applyBorder="0" applyAlignment="0" applyProtection="0">
      <alignment vertical="center"/>
    </xf>
    <xf numFmtId="26" fontId="21" fillId="33" borderId="0" applyNumberFormat="0" applyBorder="0" applyAlignment="0" applyProtection="0">
      <alignment vertical="center"/>
    </xf>
    <xf numFmtId="26" fontId="20" fillId="34" borderId="0" applyNumberFormat="0" applyBorder="0" applyAlignment="0" applyProtection="0">
      <alignment vertical="center"/>
    </xf>
  </cellStyleXfs>
  <cellXfs count="29">
    <xf numFmtId="26" fontId="0" fillId="0" borderId="0" xfId="0">
      <alignment vertical="center"/>
    </xf>
    <xf numFmtId="26" fontId="0" fillId="0" borderId="0" xfId="0" applyAlignment="1">
      <alignment horizontal="center" vertical="center"/>
    </xf>
    <xf numFmtId="180" fontId="0" fillId="0" borderId="0" xfId="0" applyNumberFormat="1">
      <alignment vertical="center"/>
    </xf>
    <xf numFmtId="26" fontId="1" fillId="2" borderId="1" xfId="0" applyFont="1" applyFill="1" applyBorder="1">
      <alignment vertical="center"/>
    </xf>
    <xf numFmtId="26" fontId="0" fillId="3" borderId="2" xfId="0" applyFont="1" applyFill="1" applyBorder="1">
      <alignment vertical="center"/>
    </xf>
    <xf numFmtId="26" fontId="0" fillId="3" borderId="3" xfId="0" applyFont="1" applyFill="1" applyBorder="1">
      <alignment vertical="center"/>
    </xf>
    <xf numFmtId="26" fontId="1" fillId="2" borderId="4" xfId="0" applyFont="1" applyFill="1" applyBorder="1">
      <alignment vertical="center"/>
    </xf>
    <xf numFmtId="26" fontId="1" fillId="2" borderId="5" xfId="0" applyFont="1" applyFill="1" applyBorder="1">
      <alignment vertical="center"/>
    </xf>
    <xf numFmtId="26" fontId="1" fillId="2" borderId="5" xfId="0" applyFont="1" applyFill="1" applyBorder="1" applyAlignment="1">
      <alignment horizontal="center" vertical="center"/>
    </xf>
    <xf numFmtId="180" fontId="1" fillId="2" borderId="6" xfId="0" applyNumberFormat="1" applyFont="1" applyFill="1" applyBorder="1">
      <alignment vertical="center"/>
    </xf>
    <xf numFmtId="26" fontId="1" fillId="2" borderId="7" xfId="0" applyFont="1" applyFill="1" applyBorder="1">
      <alignment vertical="center"/>
    </xf>
    <xf numFmtId="26" fontId="0" fillId="0" borderId="8" xfId="0" applyFont="1" applyFill="1" applyBorder="1">
      <alignment vertical="center"/>
    </xf>
    <xf numFmtId="26" fontId="0" fillId="0" borderId="9" xfId="0" applyFont="1" applyFill="1" applyBorder="1">
      <alignment vertical="center"/>
    </xf>
    <xf numFmtId="26" fontId="2" fillId="3" borderId="10" xfId="0" applyFont="1" applyFill="1" applyBorder="1">
      <alignment vertical="center"/>
    </xf>
    <xf numFmtId="26" fontId="0" fillId="0" borderId="0" xfId="0" applyFont="1" applyFill="1" applyBorder="1">
      <alignment vertical="center"/>
    </xf>
    <xf numFmtId="26" fontId="0" fillId="0" borderId="0" xfId="0" applyFont="1" applyFill="1" applyBorder="1" applyAlignment="1">
      <alignment horizontal="center" vertical="center"/>
    </xf>
    <xf numFmtId="26" fontId="0" fillId="3" borderId="8" xfId="0" applyFont="1" applyFill="1" applyBorder="1">
      <alignment vertical="center"/>
    </xf>
    <xf numFmtId="26" fontId="0" fillId="3" borderId="9" xfId="0" applyFont="1" applyFill="1" applyBorder="1">
      <alignment vertical="center"/>
    </xf>
    <xf numFmtId="26" fontId="1" fillId="2" borderId="11" xfId="0" applyFont="1" applyFill="1" applyBorder="1">
      <alignment vertical="center"/>
    </xf>
    <xf numFmtId="26" fontId="0" fillId="0" borderId="12" xfId="0" applyFont="1" applyFill="1" applyBorder="1">
      <alignment vertical="center"/>
    </xf>
    <xf numFmtId="26" fontId="0" fillId="0" borderId="13" xfId="0" applyFont="1" applyFill="1" applyBorder="1">
      <alignment vertical="center"/>
    </xf>
    <xf numFmtId="26" fontId="3" fillId="4" borderId="0" xfId="22">
      <alignment vertical="center"/>
    </xf>
    <xf numFmtId="49" fontId="3" fillId="4" borderId="0" xfId="22" applyNumberFormat="1">
      <alignment vertical="center"/>
    </xf>
    <xf numFmtId="26" fontId="4" fillId="5" borderId="0" xfId="23">
      <alignment vertical="center"/>
    </xf>
    <xf numFmtId="49" fontId="4" fillId="5" borderId="0" xfId="23" applyNumberFormat="1">
      <alignment vertical="center"/>
    </xf>
    <xf numFmtId="16" fontId="0" fillId="0" borderId="0" xfId="0" applyNumberFormat="1" applyFont="1" applyFill="1" applyBorder="1">
      <alignment vertical="center"/>
    </xf>
    <xf numFmtId="26" fontId="2" fillId="3" borderId="14" xfId="0" applyFont="1" applyFill="1" applyBorder="1">
      <alignment vertical="center"/>
    </xf>
    <xf numFmtId="26" fontId="0" fillId="0" borderId="15" xfId="0" applyFont="1" applyFill="1" applyBorder="1">
      <alignment vertical="center"/>
    </xf>
    <xf numFmtId="26" fontId="0" fillId="0" borderId="15" xfId="0" applyFont="1" applyFill="1" applyBorder="1" applyAlignment="1">
      <alignment horizontal="center" vertical="center"/>
    </xf>
    <xf numFmtId="26" fontId="0" fillId="0" borderId="9" xfId="0" applyFont="1" applyFill="1" applyBorder="1" quotePrefix="1">
      <alignment vertical="center"/>
    </xf>
    <xf numFmtId="26" fontId="0" fillId="0" borderId="13" xfId="0" applyFont="1" applyFill="1" applyBorder="1" quotePrefix="1">
      <alignment vertical="center"/>
    </xf>
    <xf numFmtId="26" fontId="0" fillId="0" borderId="0" xfId="0" quotePrefix="1">
      <alignment vertical="center"/>
    </xf>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tr-TR" altLang="zh-CN"/>
              <a:t>Yıllık Ortalama Karbondioksit Konsantrasyonu (ppm)</a:t>
            </a:r>
            <a:endParaRPr lang="tr-TR" altLang="zh-CN"/>
          </a:p>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rich>
      </c:tx>
      <c:layout>
        <c:manualLayout>
          <c:xMode val="edge"/>
          <c:yMode val="edge"/>
          <c:x val="0.238684210526316"/>
          <c:y val="0.0346420323325635"/>
        </c:manualLayout>
      </c:layout>
      <c:overlay val="0"/>
      <c:spPr>
        <a:noFill/>
        <a:ln>
          <a:noFill/>
        </a:ln>
        <a:effectLst/>
      </c:spPr>
    </c:title>
    <c:autoTitleDeleted val="0"/>
    <c:plotArea>
      <c:layout>
        <c:manualLayout>
          <c:layoutTarget val="inner"/>
          <c:xMode val="edge"/>
          <c:yMode val="edge"/>
          <c:x val="0.132392542723977"/>
          <c:y val="0.35606782244237"/>
          <c:w val="0.829932677369239"/>
          <c:h val="0.459020765860164"/>
        </c:manualLayout>
      </c:layout>
      <c:lineChart>
        <c:grouping val="standard"/>
        <c:varyColors val="0"/>
        <c:ser>
          <c:idx val="1"/>
          <c:order val="1"/>
          <c:tx>
            <c:strRef>
              <c:f>Sayfa1!$M$1</c:f>
              <c:strCache>
                <c:ptCount val="1"/>
                <c:pt idx="0">
                  <c:v>Yıllık ortalama*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numRef>
              <c:f>Sayfa1!$L$2:$L$14</c:f>
              <c:numCache>
                <c:formatCode>General</c:formatCode>
                <c:ptCount val="13"/>
                <c:pt idx="0" c:formatCode="General">
                  <c:v>1977</c:v>
                </c:pt>
                <c:pt idx="1" c:formatCode="General">
                  <c:v>1978</c:v>
                </c:pt>
                <c:pt idx="2" c:formatCode="General">
                  <c:v>1979</c:v>
                </c:pt>
                <c:pt idx="3" c:formatCode="General">
                  <c:v>1980</c:v>
                </c:pt>
                <c:pt idx="4" c:formatCode="General">
                  <c:v>1981</c:v>
                </c:pt>
                <c:pt idx="5" c:formatCode="General">
                  <c:v>1982</c:v>
                </c:pt>
                <c:pt idx="6" c:formatCode="General">
                  <c:v>1983</c:v>
                </c:pt>
                <c:pt idx="7" c:formatCode="General">
                  <c:v>1984</c:v>
                </c:pt>
                <c:pt idx="8" c:formatCode="General">
                  <c:v>1985</c:v>
                </c:pt>
                <c:pt idx="9" c:formatCode="General">
                  <c:v>1986</c:v>
                </c:pt>
                <c:pt idx="10" c:formatCode="General">
                  <c:v>1987</c:v>
                </c:pt>
                <c:pt idx="11" c:formatCode="General">
                  <c:v>1988</c:v>
                </c:pt>
                <c:pt idx="12" c:formatCode="General">
                  <c:v>1989</c:v>
                </c:pt>
              </c:numCache>
            </c:numRef>
          </c:cat>
          <c:val>
            <c:numRef>
              <c:f>Sayfa1!$M$2:$M$14</c:f>
              <c:numCache>
                <c:formatCode>General</c:formatCode>
                <c:ptCount val="13"/>
                <c:pt idx="0">
                  <c:v>333.178571428571</c:v>
                </c:pt>
                <c:pt idx="1">
                  <c:v>335.415</c:v>
                </c:pt>
                <c:pt idx="2">
                  <c:v>336.835</c:v>
                </c:pt>
                <c:pt idx="3">
                  <c:v>338.7625</c:v>
                </c:pt>
                <c:pt idx="4">
                  <c:v>340.12</c:v>
                </c:pt>
                <c:pt idx="5">
                  <c:v>341.478333333333</c:v>
                </c:pt>
                <c:pt idx="6">
                  <c:v>343.1525</c:v>
                </c:pt>
                <c:pt idx="7">
                  <c:v>344.866666666667</c:v>
                </c:pt>
                <c:pt idx="8">
                  <c:v>346.351666666667</c:v>
                </c:pt>
                <c:pt idx="9">
                  <c:v>347.6075</c:v>
                </c:pt>
                <c:pt idx="10">
                  <c:v>349.311666666667</c:v>
                </c:pt>
                <c:pt idx="11">
                  <c:v>351.69</c:v>
                </c:pt>
                <c:pt idx="12">
                  <c:v>354.615</c:v>
                </c:pt>
              </c:numCache>
            </c:numRef>
          </c:val>
          <c:smooth val="0"/>
        </c:ser>
        <c:dLbls>
          <c:showLegendKey val="0"/>
          <c:showVal val="0"/>
          <c:showCatName val="0"/>
          <c:showSerName val="0"/>
          <c:showPercent val="0"/>
          <c:showBubbleSize val="0"/>
        </c:dLbls>
        <c:marker val="1"/>
        <c:smooth val="0"/>
        <c:axId val="31481521"/>
        <c:axId val="508246907"/>
        <c:extLst>
          <c:ext xmlns:c15="http://schemas.microsoft.com/office/drawing/2012/chart" uri="{02D57815-91ED-43cb-92C2-25804820EDAC}">
            <c15:filteredLineSeries>
              <c15:ser>
                <c:idx val="0"/>
                <c:order val="0"/>
                <c:tx>
                  <c:strRef>
                    <c:extLst>
                      <c:ext uri="{02D57815-91ED-43cb-92C2-25804820EDAC}">
                        <c15:formulaRef>
                          <c15:sqref>Sayfa1!$L$1</c15:sqref>
                        </c15:formulaRef>
                      </c:ext>
                    </c:extLst>
                    <c:strCache>
                      <c:ptCount val="1"/>
                      <c:pt idx="0">
                        <c:v>YIL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numRef>
                    <c:extLst>
                      <c:ext uri="{02D57815-91ED-43cb-92C2-25804820EDAC}">
                        <c15:fullRef>
                          <c15:sqref/>
                        </c15:fullRef>
                        <c15:formulaRef>
                          <c15:sqref>Sayfa1!$L$2:$L$14</c15:sqref>
                        </c15:formulaRef>
                      </c:ext>
                    </c:extLst>
                    <c:numCache>
                      <c:formatCode>General</c:formatCode>
                      <c:ptCount val="13"/>
                      <c:pt idx="0" c:formatCode="General">
                        <c:v>1977</c:v>
                      </c:pt>
                      <c:pt idx="1" c:formatCode="General">
                        <c:v>1978</c:v>
                      </c:pt>
                      <c:pt idx="2" c:formatCode="General">
                        <c:v>1979</c:v>
                      </c:pt>
                      <c:pt idx="3" c:formatCode="General">
                        <c:v>1980</c:v>
                      </c:pt>
                      <c:pt idx="4" c:formatCode="General">
                        <c:v>1981</c:v>
                      </c:pt>
                      <c:pt idx="5" c:formatCode="General">
                        <c:v>1982</c:v>
                      </c:pt>
                      <c:pt idx="6" c:formatCode="General">
                        <c:v>1983</c:v>
                      </c:pt>
                      <c:pt idx="7" c:formatCode="General">
                        <c:v>1984</c:v>
                      </c:pt>
                      <c:pt idx="8" c:formatCode="General">
                        <c:v>1985</c:v>
                      </c:pt>
                      <c:pt idx="9" c:formatCode="General">
                        <c:v>1986</c:v>
                      </c:pt>
                      <c:pt idx="10" c:formatCode="General">
                        <c:v>1987</c:v>
                      </c:pt>
                      <c:pt idx="11" c:formatCode="General">
                        <c:v>1988</c:v>
                      </c:pt>
                      <c:pt idx="12" c:formatCode="General">
                        <c:v>1989</c:v>
                      </c:pt>
                    </c:numCache>
                  </c:numRef>
                </c:cat>
                <c:val>
                  <c:numRef>
                    <c:extLst>
                      <c:ext uri="{02D57815-91ED-43cb-92C2-25804820EDAC}">
                        <c15:formulaRef>
                          <c15:sqref>Sayfa1!$L$2:$L$14</c15:sqref>
                        </c15:formulaRef>
                      </c:ext>
                    </c:extLst>
                    <c:numCache>
                      <c:formatCode>General</c:formatCode>
                      <c:ptCount val="13"/>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numCache>
                  </c:numRef>
                </c:val>
                <c:smooth val="0"/>
              </c15:ser>
            </c15:filteredLineSeries>
          </c:ext>
        </c:extLst>
      </c:lineChart>
      <c:catAx>
        <c:axId val="31481521"/>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Tarih</a:t>
                </a:r>
                <a:endParaRPr lang="tr-TR" altLang="zh-CN"/>
              </a:p>
            </c:rich>
          </c:tx>
          <c:layout/>
          <c:overlay val="0"/>
          <c:spPr>
            <a:noFill/>
            <a:ln>
              <a:noFill/>
            </a:ln>
            <a:effectLst/>
          </c:spPr>
        </c:title>
        <c:numFmt formatCode="General" sourceLinked="1"/>
        <c:majorTickMark val="out"/>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508246907"/>
        <c:crosses val="autoZero"/>
        <c:auto val="1"/>
        <c:lblAlgn val="ctr"/>
        <c:lblOffset val="100"/>
        <c:noMultiLvlLbl val="0"/>
      </c:catAx>
      <c:valAx>
        <c:axId val="508246907"/>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CO₂ (ppm)</a:t>
                </a:r>
                <a:endParaRPr lang="tr-TR" altLang="zh-CN"/>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1481521"/>
        <c:crosses val="autoZero"/>
        <c:crossBetween val="midCat"/>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456fd70c-fc63-4c8b-9cd5-2010c633b934}"/>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tr-TR" altLang="zh-CN"/>
              <a:t>Aylık Karbondioksit Konsantrasyonu (ppm)</a:t>
            </a:r>
            <a:endParaRPr lang="tr-TR" altLang="zh-CN"/>
          </a:p>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rich>
      </c:tx>
      <c:layout>
        <c:manualLayout>
          <c:xMode val="edge"/>
          <c:yMode val="edge"/>
          <c:x val="0.273982821105628"/>
          <c:y val="0.0138161000944287"/>
        </c:manualLayout>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numRef>
              <c:f>(Sayfa1!$H$2:$H$146)</c:f>
              <c:numCache>
                <c:formatCode>mmmm\ yyyy</c:formatCode>
                <c:ptCount val="145"/>
                <c:pt idx="0" c:formatCode="mmmm\ yyyy">
                  <c:v>28277</c:v>
                </c:pt>
                <c:pt idx="1" c:formatCode="mmmm\ yyyy">
                  <c:v>28307</c:v>
                </c:pt>
                <c:pt idx="2" c:formatCode="mmmm\ yyyy">
                  <c:v>28338</c:v>
                </c:pt>
                <c:pt idx="3" c:formatCode="mmmm\ yyyy">
                  <c:v>28369</c:v>
                </c:pt>
                <c:pt idx="4" c:formatCode="mmmm\ yyyy">
                  <c:v>28399</c:v>
                </c:pt>
                <c:pt idx="5" c:formatCode="mmmm\ yyyy">
                  <c:v>28430</c:v>
                </c:pt>
                <c:pt idx="6" c:formatCode="mmmm\ yyyy">
                  <c:v>28460</c:v>
                </c:pt>
                <c:pt idx="7" c:formatCode="mmmm\ yyyy">
                  <c:v>28491</c:v>
                </c:pt>
                <c:pt idx="8" c:formatCode="mmmm\ yyyy">
                  <c:v>28522</c:v>
                </c:pt>
                <c:pt idx="9" c:formatCode="mmmm\ yyyy">
                  <c:v>28550</c:v>
                </c:pt>
                <c:pt idx="10" c:formatCode="mmmm\ yyyy">
                  <c:v>28581</c:v>
                </c:pt>
                <c:pt idx="11" c:formatCode="mmmm\ yyyy">
                  <c:v>28611</c:v>
                </c:pt>
                <c:pt idx="12" c:formatCode="mmmm\ yyyy">
                  <c:v>28642</c:v>
                </c:pt>
                <c:pt idx="13" c:formatCode="mmmm\ yyyy">
                  <c:v>28672</c:v>
                </c:pt>
                <c:pt idx="14" c:formatCode="mmmm\ yyyy">
                  <c:v>28703</c:v>
                </c:pt>
                <c:pt idx="15" c:formatCode="mmmm\ yyyy">
                  <c:v>28734</c:v>
                </c:pt>
                <c:pt idx="16" c:formatCode="mmmm\ yyyy">
                  <c:v>28764</c:v>
                </c:pt>
                <c:pt idx="17" c:formatCode="mmmm\ yyyy">
                  <c:v>28795</c:v>
                </c:pt>
                <c:pt idx="18" c:formatCode="mmmm\ yyyy">
                  <c:v>28825</c:v>
                </c:pt>
                <c:pt idx="19" c:formatCode="mmmm\ yyyy">
                  <c:v>28856</c:v>
                </c:pt>
                <c:pt idx="20" c:formatCode="mmmm\ yyyy">
                  <c:v>28887</c:v>
                </c:pt>
                <c:pt idx="21" c:formatCode="mmmm\ yyyy">
                  <c:v>28915</c:v>
                </c:pt>
                <c:pt idx="22" c:formatCode="mmmm\ yyyy">
                  <c:v>28946</c:v>
                </c:pt>
                <c:pt idx="23" c:formatCode="mmmm\ yyyy">
                  <c:v>28976</c:v>
                </c:pt>
                <c:pt idx="24" c:formatCode="mmmm\ yyyy">
                  <c:v>29007</c:v>
                </c:pt>
                <c:pt idx="25" c:formatCode="mmmm\ yyyy">
                  <c:v>29037</c:v>
                </c:pt>
                <c:pt idx="26" c:formatCode="mmmm\ yyyy">
                  <c:v>29068</c:v>
                </c:pt>
                <c:pt idx="27" c:formatCode="mmmm\ yyyy">
                  <c:v>29099</c:v>
                </c:pt>
                <c:pt idx="28" c:formatCode="mmmm\ yyyy">
                  <c:v>29129</c:v>
                </c:pt>
                <c:pt idx="29" c:formatCode="mmmm\ yyyy">
                  <c:v>29160</c:v>
                </c:pt>
                <c:pt idx="30" c:formatCode="mmmm\ yyyy">
                  <c:v>29190</c:v>
                </c:pt>
                <c:pt idx="31" c:formatCode="mmmm\ yyyy">
                  <c:v>29221</c:v>
                </c:pt>
                <c:pt idx="32" c:formatCode="mmmm\ yyyy">
                  <c:v>29252</c:v>
                </c:pt>
                <c:pt idx="33" c:formatCode="mmmm\ yyyy">
                  <c:v>29281</c:v>
                </c:pt>
                <c:pt idx="34" c:formatCode="mmmm\ yyyy">
                  <c:v>29312</c:v>
                </c:pt>
                <c:pt idx="35" c:formatCode="mmmm\ yyyy">
                  <c:v>29342</c:v>
                </c:pt>
                <c:pt idx="36" c:formatCode="mmmm\ yyyy">
                  <c:v>29373</c:v>
                </c:pt>
                <c:pt idx="37" c:formatCode="mmmm\ yyyy">
                  <c:v>29403</c:v>
                </c:pt>
                <c:pt idx="38" c:formatCode="mmmm\ yyyy">
                  <c:v>29434</c:v>
                </c:pt>
                <c:pt idx="39" c:formatCode="mmmm\ yyyy">
                  <c:v>29465</c:v>
                </c:pt>
                <c:pt idx="40" c:formatCode="mmmm\ yyyy">
                  <c:v>29495</c:v>
                </c:pt>
                <c:pt idx="41" c:formatCode="mmmm\ yyyy">
                  <c:v>29526</c:v>
                </c:pt>
                <c:pt idx="42" c:formatCode="mmmm\ yyyy">
                  <c:v>29556</c:v>
                </c:pt>
                <c:pt idx="43" c:formatCode="mmmm\ yyyy">
                  <c:v>29587</c:v>
                </c:pt>
                <c:pt idx="44" c:formatCode="mmmm\ yyyy">
                  <c:v>29618</c:v>
                </c:pt>
                <c:pt idx="45" c:formatCode="mmmm\ yyyy">
                  <c:v>29646</c:v>
                </c:pt>
                <c:pt idx="46" c:formatCode="mmmm\ yyyy">
                  <c:v>29677</c:v>
                </c:pt>
                <c:pt idx="47" c:formatCode="mmmm\ yyyy">
                  <c:v>29707</c:v>
                </c:pt>
                <c:pt idx="48" c:formatCode="mmmm\ yyyy">
                  <c:v>29738</c:v>
                </c:pt>
                <c:pt idx="49" c:formatCode="mmmm\ yyyy">
                  <c:v>29768</c:v>
                </c:pt>
                <c:pt idx="50" c:formatCode="mmmm\ yyyy">
                  <c:v>29799</c:v>
                </c:pt>
                <c:pt idx="51" c:formatCode="mmmm\ yyyy">
                  <c:v>29830</c:v>
                </c:pt>
                <c:pt idx="52" c:formatCode="mmmm\ yyyy">
                  <c:v>29860</c:v>
                </c:pt>
                <c:pt idx="53" c:formatCode="mmmm\ yyyy">
                  <c:v>29891</c:v>
                </c:pt>
                <c:pt idx="54" c:formatCode="mmmm\ yyyy">
                  <c:v>29921</c:v>
                </c:pt>
                <c:pt idx="55" c:formatCode="mmmm\ yyyy">
                  <c:v>29952</c:v>
                </c:pt>
                <c:pt idx="56" c:formatCode="mmmm\ yyyy">
                  <c:v>29983</c:v>
                </c:pt>
                <c:pt idx="57" c:formatCode="mmmm\ yyyy">
                  <c:v>30011</c:v>
                </c:pt>
                <c:pt idx="58" c:formatCode="mmmm\ yyyy">
                  <c:v>30042</c:v>
                </c:pt>
                <c:pt idx="59" c:formatCode="mmmm\ yyyy">
                  <c:v>30072</c:v>
                </c:pt>
                <c:pt idx="60" c:formatCode="mmmm\ yyyy">
                  <c:v>30103</c:v>
                </c:pt>
                <c:pt idx="61" c:formatCode="mmmm\ yyyy">
                  <c:v>30133</c:v>
                </c:pt>
                <c:pt idx="62" c:formatCode="mmmm\ yyyy">
                  <c:v>30164</c:v>
                </c:pt>
                <c:pt idx="63" c:formatCode="mmmm\ yyyy">
                  <c:v>30195</c:v>
                </c:pt>
                <c:pt idx="64" c:formatCode="mmmm\ yyyy">
                  <c:v>30225</c:v>
                </c:pt>
                <c:pt idx="65" c:formatCode="mmmm\ yyyy">
                  <c:v>30256</c:v>
                </c:pt>
                <c:pt idx="66" c:formatCode="mmmm\ yyyy">
                  <c:v>30286</c:v>
                </c:pt>
                <c:pt idx="67" c:formatCode="mmmm\ yyyy">
                  <c:v>30317</c:v>
                </c:pt>
                <c:pt idx="68" c:formatCode="mmmm\ yyyy">
                  <c:v>30348</c:v>
                </c:pt>
                <c:pt idx="69" c:formatCode="mmmm\ yyyy">
                  <c:v>30376</c:v>
                </c:pt>
                <c:pt idx="70" c:formatCode="mmmm\ yyyy">
                  <c:v>30407</c:v>
                </c:pt>
                <c:pt idx="71" c:formatCode="mmmm\ yyyy">
                  <c:v>30437</c:v>
                </c:pt>
                <c:pt idx="72" c:formatCode="mmmm\ yyyy">
                  <c:v>30468</c:v>
                </c:pt>
                <c:pt idx="73" c:formatCode="mmmm\ yyyy">
                  <c:v>30498</c:v>
                </c:pt>
                <c:pt idx="74" c:formatCode="mmmm\ yyyy">
                  <c:v>30529</c:v>
                </c:pt>
                <c:pt idx="75" c:formatCode="mmmm\ yyyy">
                  <c:v>30560</c:v>
                </c:pt>
                <c:pt idx="76" c:formatCode="mmmm\ yyyy">
                  <c:v>30590</c:v>
                </c:pt>
                <c:pt idx="77" c:formatCode="mmmm\ yyyy">
                  <c:v>30621</c:v>
                </c:pt>
                <c:pt idx="78" c:formatCode="mmmm\ yyyy">
                  <c:v>30651</c:v>
                </c:pt>
                <c:pt idx="79" c:formatCode="mmmm\ yyyy">
                  <c:v>30682</c:v>
                </c:pt>
                <c:pt idx="80" c:formatCode="mmmm\ yyyy">
                  <c:v>30713</c:v>
                </c:pt>
                <c:pt idx="81" c:formatCode="mmmm\ yyyy">
                  <c:v>30742</c:v>
                </c:pt>
                <c:pt idx="82" c:formatCode="mmmm\ yyyy">
                  <c:v>30773</c:v>
                </c:pt>
                <c:pt idx="83" c:formatCode="mmmm\ yyyy">
                  <c:v>30803</c:v>
                </c:pt>
                <c:pt idx="84" c:formatCode="mmmm\ yyyy">
                  <c:v>30834</c:v>
                </c:pt>
                <c:pt idx="85" c:formatCode="mmmm\ yyyy">
                  <c:v>30864</c:v>
                </c:pt>
                <c:pt idx="86" c:formatCode="mmmm\ yyyy">
                  <c:v>30895</c:v>
                </c:pt>
                <c:pt idx="87" c:formatCode="mmmm\ yyyy">
                  <c:v>30926</c:v>
                </c:pt>
                <c:pt idx="88" c:formatCode="mmmm\ yyyy">
                  <c:v>30956</c:v>
                </c:pt>
                <c:pt idx="89" c:formatCode="mmmm\ yyyy">
                  <c:v>30987</c:v>
                </c:pt>
                <c:pt idx="90" c:formatCode="mmmm\ yyyy">
                  <c:v>31017</c:v>
                </c:pt>
                <c:pt idx="91" c:formatCode="mmmm\ yyyy">
                  <c:v>31048</c:v>
                </c:pt>
                <c:pt idx="92" c:formatCode="mmmm\ yyyy">
                  <c:v>31079</c:v>
                </c:pt>
                <c:pt idx="93" c:formatCode="mmmm\ yyyy">
                  <c:v>31107</c:v>
                </c:pt>
                <c:pt idx="94" c:formatCode="mmmm\ yyyy">
                  <c:v>31138</c:v>
                </c:pt>
                <c:pt idx="95" c:formatCode="mmmm\ yyyy">
                  <c:v>31168</c:v>
                </c:pt>
                <c:pt idx="96" c:formatCode="mmmm\ yyyy">
                  <c:v>31199</c:v>
                </c:pt>
                <c:pt idx="97" c:formatCode="mmmm\ yyyy">
                  <c:v>31229</c:v>
                </c:pt>
                <c:pt idx="98" c:formatCode="mmmm\ yyyy">
                  <c:v>31260</c:v>
                </c:pt>
                <c:pt idx="99" c:formatCode="mmmm\ yyyy">
                  <c:v>31291</c:v>
                </c:pt>
                <c:pt idx="100" c:formatCode="mmmm\ yyyy">
                  <c:v>31321</c:v>
                </c:pt>
                <c:pt idx="101" c:formatCode="mmmm\ yyyy">
                  <c:v>31352</c:v>
                </c:pt>
                <c:pt idx="102" c:formatCode="mmmm\ yyyy">
                  <c:v>31382</c:v>
                </c:pt>
                <c:pt idx="103" c:formatCode="mmmm\ yyyy">
                  <c:v>31413</c:v>
                </c:pt>
                <c:pt idx="104" c:formatCode="mmmm\ yyyy">
                  <c:v>31444</c:v>
                </c:pt>
                <c:pt idx="105" c:formatCode="mmmm\ yyyy">
                  <c:v>31472</c:v>
                </c:pt>
                <c:pt idx="106" c:formatCode="mmmm\ yyyy">
                  <c:v>31503</c:v>
                </c:pt>
                <c:pt idx="107" c:formatCode="mmmm\ yyyy">
                  <c:v>31533</c:v>
                </c:pt>
                <c:pt idx="108" c:formatCode="mmmm\ yyyy">
                  <c:v>31564</c:v>
                </c:pt>
                <c:pt idx="109" c:formatCode="mmmm\ yyyy">
                  <c:v>31594</c:v>
                </c:pt>
                <c:pt idx="110" c:formatCode="mmmm\ yyyy">
                  <c:v>31625</c:v>
                </c:pt>
                <c:pt idx="111" c:formatCode="mmmm\ yyyy">
                  <c:v>31656</c:v>
                </c:pt>
                <c:pt idx="112" c:formatCode="mmmm\ yyyy">
                  <c:v>31686</c:v>
                </c:pt>
                <c:pt idx="113" c:formatCode="mmmm\ yyyy">
                  <c:v>31717</c:v>
                </c:pt>
                <c:pt idx="114" c:formatCode="mmmm\ yyyy">
                  <c:v>31747</c:v>
                </c:pt>
                <c:pt idx="115" c:formatCode="mmmm\ yyyy">
                  <c:v>31778</c:v>
                </c:pt>
                <c:pt idx="116" c:formatCode="mmmm\ yyyy">
                  <c:v>31809</c:v>
                </c:pt>
                <c:pt idx="117" c:formatCode="mmmm\ yyyy">
                  <c:v>31837</c:v>
                </c:pt>
                <c:pt idx="118" c:formatCode="mmmm\ yyyy">
                  <c:v>31868</c:v>
                </c:pt>
                <c:pt idx="119" c:formatCode="mmmm\ yyyy">
                  <c:v>31898</c:v>
                </c:pt>
                <c:pt idx="120" c:formatCode="mmmm\ yyyy">
                  <c:v>31929</c:v>
                </c:pt>
                <c:pt idx="121" c:formatCode="mmmm\ yyyy">
                  <c:v>31959</c:v>
                </c:pt>
                <c:pt idx="122" c:formatCode="mmmm\ yyyy">
                  <c:v>31990</c:v>
                </c:pt>
                <c:pt idx="123" c:formatCode="mmmm\ yyyy">
                  <c:v>32021</c:v>
                </c:pt>
                <c:pt idx="124" c:formatCode="mmmm\ yyyy">
                  <c:v>32051</c:v>
                </c:pt>
                <c:pt idx="125" c:formatCode="mmmm\ yyyy">
                  <c:v>32082</c:v>
                </c:pt>
                <c:pt idx="126" c:formatCode="mmmm\ yyyy">
                  <c:v>32112</c:v>
                </c:pt>
                <c:pt idx="127" c:formatCode="mmmm\ yyyy">
                  <c:v>32143</c:v>
                </c:pt>
                <c:pt idx="128" c:formatCode="mmmm\ yyyy">
                  <c:v>32174</c:v>
                </c:pt>
                <c:pt idx="129" c:formatCode="mmmm\ yyyy">
                  <c:v>32203</c:v>
                </c:pt>
                <c:pt idx="130" c:formatCode="mmmm\ yyyy">
                  <c:v>32234</c:v>
                </c:pt>
                <c:pt idx="131" c:formatCode="mmmm\ yyyy">
                  <c:v>32264</c:v>
                </c:pt>
                <c:pt idx="132" c:formatCode="mmmm\ yyyy">
                  <c:v>32295</c:v>
                </c:pt>
                <c:pt idx="133" c:formatCode="mmmm\ yyyy">
                  <c:v>32325</c:v>
                </c:pt>
                <c:pt idx="134" c:formatCode="mmmm\ yyyy">
                  <c:v>32356</c:v>
                </c:pt>
                <c:pt idx="135" c:formatCode="mmmm\ yyyy">
                  <c:v>32387</c:v>
                </c:pt>
                <c:pt idx="136" c:formatCode="mmmm\ yyyy">
                  <c:v>32417</c:v>
                </c:pt>
                <c:pt idx="137" c:formatCode="mmmm\ yyyy">
                  <c:v>32448</c:v>
                </c:pt>
                <c:pt idx="138" c:formatCode="mmmm\ yyyy">
                  <c:v>32478</c:v>
                </c:pt>
                <c:pt idx="139" c:formatCode="mmmm\ yyyy">
                  <c:v>32509</c:v>
                </c:pt>
                <c:pt idx="140" c:formatCode="mmmm\ yyyy">
                  <c:v>32540</c:v>
                </c:pt>
                <c:pt idx="141" c:formatCode="mmmm\ yyyy">
                  <c:v>32568</c:v>
                </c:pt>
                <c:pt idx="142" c:formatCode="mmmm\ yyyy">
                  <c:v>32599</c:v>
                </c:pt>
                <c:pt idx="143" c:formatCode="mmmm\ yyyy">
                  <c:v>32629</c:v>
                </c:pt>
                <c:pt idx="144" c:formatCode="mmmm\ yyyy">
                  <c:v>32660</c:v>
                </c:pt>
              </c:numCache>
            </c:numRef>
          </c:cat>
          <c:val>
            <c:numRef>
              <c:f>Sayfa1!$C$2:$C$146</c:f>
              <c:numCache>
                <c:formatCode>General</c:formatCode>
                <c:ptCount val="145"/>
                <c:pt idx="0">
                  <c:v>336.17</c:v>
                </c:pt>
                <c:pt idx="1">
                  <c:v>334.89</c:v>
                </c:pt>
                <c:pt idx="2">
                  <c:v>332.56</c:v>
                </c:pt>
                <c:pt idx="3">
                  <c:v>331.29</c:v>
                </c:pt>
                <c:pt idx="4">
                  <c:v>331.28</c:v>
                </c:pt>
                <c:pt idx="5">
                  <c:v>332.46</c:v>
                </c:pt>
                <c:pt idx="6">
                  <c:v>333.6</c:v>
                </c:pt>
                <c:pt idx="7">
                  <c:v>334.94</c:v>
                </c:pt>
                <c:pt idx="8">
                  <c:v>335.26</c:v>
                </c:pt>
                <c:pt idx="9">
                  <c:v>336.66</c:v>
                </c:pt>
                <c:pt idx="10">
                  <c:v>337.69</c:v>
                </c:pt>
                <c:pt idx="11">
                  <c:v>338.02</c:v>
                </c:pt>
                <c:pt idx="12">
                  <c:v>338.01</c:v>
                </c:pt>
                <c:pt idx="13">
                  <c:v>336.5</c:v>
                </c:pt>
                <c:pt idx="14">
                  <c:v>334.42</c:v>
                </c:pt>
                <c:pt idx="15">
                  <c:v>332.36</c:v>
                </c:pt>
                <c:pt idx="16">
                  <c:v>332.45</c:v>
                </c:pt>
                <c:pt idx="17">
                  <c:v>333.76</c:v>
                </c:pt>
                <c:pt idx="18">
                  <c:v>334.91</c:v>
                </c:pt>
                <c:pt idx="19">
                  <c:v>336.14</c:v>
                </c:pt>
                <c:pt idx="20">
                  <c:v>336.69</c:v>
                </c:pt>
                <c:pt idx="21">
                  <c:v>338.27</c:v>
                </c:pt>
                <c:pt idx="22">
                  <c:v>338.82</c:v>
                </c:pt>
                <c:pt idx="23">
                  <c:v>339.24</c:v>
                </c:pt>
                <c:pt idx="24">
                  <c:v>339.26</c:v>
                </c:pt>
                <c:pt idx="25">
                  <c:v>337.54</c:v>
                </c:pt>
                <c:pt idx="26">
                  <c:v>335.72</c:v>
                </c:pt>
                <c:pt idx="27">
                  <c:v>333.97</c:v>
                </c:pt>
                <c:pt idx="28">
                  <c:v>334.24</c:v>
                </c:pt>
                <c:pt idx="29">
                  <c:v>335.32</c:v>
                </c:pt>
                <c:pt idx="30">
                  <c:v>336.81</c:v>
                </c:pt>
                <c:pt idx="31">
                  <c:v>337.9</c:v>
                </c:pt>
                <c:pt idx="32">
                  <c:v>338.34</c:v>
                </c:pt>
                <c:pt idx="33">
                  <c:v>340.07</c:v>
                </c:pt>
                <c:pt idx="34">
                  <c:v>340.93</c:v>
                </c:pt>
                <c:pt idx="35">
                  <c:v>341.45</c:v>
                </c:pt>
                <c:pt idx="36">
                  <c:v>341.36</c:v>
                </c:pt>
                <c:pt idx="37">
                  <c:v>339.45</c:v>
                </c:pt>
                <c:pt idx="38">
                  <c:v>337.67</c:v>
                </c:pt>
                <c:pt idx="39">
                  <c:v>336.25</c:v>
                </c:pt>
                <c:pt idx="40">
                  <c:v>336.14</c:v>
                </c:pt>
                <c:pt idx="41">
                  <c:v>337.3</c:v>
                </c:pt>
                <c:pt idx="42">
                  <c:v>338.29</c:v>
                </c:pt>
                <c:pt idx="43">
                  <c:v>339.29</c:v>
                </c:pt>
                <c:pt idx="44">
                  <c:v>340.55</c:v>
                </c:pt>
                <c:pt idx="45">
                  <c:v>341.63</c:v>
                </c:pt>
                <c:pt idx="46">
                  <c:v>342.6</c:v>
                </c:pt>
                <c:pt idx="47">
                  <c:v>343.04</c:v>
                </c:pt>
                <c:pt idx="48">
                  <c:v>342.54</c:v>
                </c:pt>
                <c:pt idx="49">
                  <c:v>340.82</c:v>
                </c:pt>
                <c:pt idx="50">
                  <c:v>338.48</c:v>
                </c:pt>
                <c:pt idx="51">
                  <c:v>336.95</c:v>
                </c:pt>
                <c:pt idx="52">
                  <c:v>337.05</c:v>
                </c:pt>
                <c:pt idx="53">
                  <c:v>338.58</c:v>
                </c:pt>
                <c:pt idx="54">
                  <c:v>339.91</c:v>
                </c:pt>
                <c:pt idx="55">
                  <c:v>340.93</c:v>
                </c:pt>
                <c:pt idx="56">
                  <c:v>341.76</c:v>
                </c:pt>
                <c:pt idx="57">
                  <c:v>342.78</c:v>
                </c:pt>
                <c:pt idx="58">
                  <c:v>343.96</c:v>
                </c:pt>
                <c:pt idx="59">
                  <c:v>344.77</c:v>
                </c:pt>
                <c:pt idx="60">
                  <c:v>343.88</c:v>
                </c:pt>
                <c:pt idx="61">
                  <c:v>342.42</c:v>
                </c:pt>
                <c:pt idx="62">
                  <c:v>340.24</c:v>
                </c:pt>
                <c:pt idx="63">
                  <c:v>338.37</c:v>
                </c:pt>
                <c:pt idx="64">
                  <c:v>338.41</c:v>
                </c:pt>
                <c:pt idx="65">
                  <c:v>339.44</c:v>
                </c:pt>
                <c:pt idx="66">
                  <c:v>340.78</c:v>
                </c:pt>
                <c:pt idx="67">
                  <c:v>341.57</c:v>
                </c:pt>
                <c:pt idx="68">
                  <c:v>342.78</c:v>
                </c:pt>
                <c:pt idx="69">
                  <c:v>343.37</c:v>
                </c:pt>
                <c:pt idx="70">
                  <c:v>345.4</c:v>
                </c:pt>
                <c:pt idx="71">
                  <c:v>346.14</c:v>
                </c:pt>
                <c:pt idx="72">
                  <c:v>345.76</c:v>
                </c:pt>
                <c:pt idx="73">
                  <c:v>344.32</c:v>
                </c:pt>
                <c:pt idx="74">
                  <c:v>342.51</c:v>
                </c:pt>
                <c:pt idx="75">
                  <c:v>340.46</c:v>
                </c:pt>
                <c:pt idx="76">
                  <c:v>340.53</c:v>
                </c:pt>
                <c:pt idx="77">
                  <c:v>341.79</c:v>
                </c:pt>
                <c:pt idx="78">
                  <c:v>343.2</c:v>
                </c:pt>
                <c:pt idx="79">
                  <c:v>344.21</c:v>
                </c:pt>
                <c:pt idx="80">
                  <c:v>344.92</c:v>
                </c:pt>
                <c:pt idx="81">
                  <c:v>345.68</c:v>
                </c:pt>
                <c:pt idx="82">
                  <c:v>347.37</c:v>
                </c:pt>
                <c:pt idx="83">
                  <c:v>347.77</c:v>
                </c:pt>
                <c:pt idx="84">
                  <c:v>347.16</c:v>
                </c:pt>
                <c:pt idx="85">
                  <c:v>345.79</c:v>
                </c:pt>
                <c:pt idx="86">
                  <c:v>343.74</c:v>
                </c:pt>
                <c:pt idx="87">
                  <c:v>341.59</c:v>
                </c:pt>
                <c:pt idx="88">
                  <c:v>341.86</c:v>
                </c:pt>
                <c:pt idx="89">
                  <c:v>343.31</c:v>
                </c:pt>
                <c:pt idx="90">
                  <c:v>345</c:v>
                </c:pt>
                <c:pt idx="91">
                  <c:v>345.48</c:v>
                </c:pt>
                <c:pt idx="92">
                  <c:v>346.41</c:v>
                </c:pt>
                <c:pt idx="93">
                  <c:v>347.91</c:v>
                </c:pt>
                <c:pt idx="94">
                  <c:v>348.66</c:v>
                </c:pt>
                <c:pt idx="95">
                  <c:v>349.28</c:v>
                </c:pt>
                <c:pt idx="96">
                  <c:v>348.65</c:v>
                </c:pt>
                <c:pt idx="97">
                  <c:v>346.9</c:v>
                </c:pt>
                <c:pt idx="98">
                  <c:v>345.26</c:v>
                </c:pt>
                <c:pt idx="99">
                  <c:v>343.47</c:v>
                </c:pt>
                <c:pt idx="100">
                  <c:v>343.35</c:v>
                </c:pt>
                <c:pt idx="101">
                  <c:v>344.73</c:v>
                </c:pt>
                <c:pt idx="102">
                  <c:v>346.12</c:v>
                </c:pt>
                <c:pt idx="103">
                  <c:v>346.78</c:v>
                </c:pt>
                <c:pt idx="104">
                  <c:v>347.48</c:v>
                </c:pt>
                <c:pt idx="105">
                  <c:v>348.25</c:v>
                </c:pt>
                <c:pt idx="106">
                  <c:v>349.86</c:v>
                </c:pt>
                <c:pt idx="107">
                  <c:v>350.52</c:v>
                </c:pt>
                <c:pt idx="108">
                  <c:v>349.98</c:v>
                </c:pt>
                <c:pt idx="109">
                  <c:v>348.25</c:v>
                </c:pt>
                <c:pt idx="110">
                  <c:v>346.17</c:v>
                </c:pt>
                <c:pt idx="111">
                  <c:v>345.48</c:v>
                </c:pt>
                <c:pt idx="112">
                  <c:v>344.82</c:v>
                </c:pt>
                <c:pt idx="113">
                  <c:v>346.22</c:v>
                </c:pt>
                <c:pt idx="114">
                  <c:v>347.48</c:v>
                </c:pt>
                <c:pt idx="115">
                  <c:v>348.73</c:v>
                </c:pt>
                <c:pt idx="116">
                  <c:v>348.92</c:v>
                </c:pt>
                <c:pt idx="117">
                  <c:v>349.81</c:v>
                </c:pt>
                <c:pt idx="118">
                  <c:v>351.4</c:v>
                </c:pt>
                <c:pt idx="119">
                  <c:v>352.15</c:v>
                </c:pt>
                <c:pt idx="120">
                  <c:v>351.58</c:v>
                </c:pt>
                <c:pt idx="121">
                  <c:v>350.21</c:v>
                </c:pt>
                <c:pt idx="122">
                  <c:v>348.2</c:v>
                </c:pt>
                <c:pt idx="123">
                  <c:v>346.66</c:v>
                </c:pt>
                <c:pt idx="124">
                  <c:v>346.72</c:v>
                </c:pt>
                <c:pt idx="125">
                  <c:v>348.08</c:v>
                </c:pt>
                <c:pt idx="126">
                  <c:v>349.28</c:v>
                </c:pt>
                <c:pt idx="127">
                  <c:v>350.51</c:v>
                </c:pt>
                <c:pt idx="128">
                  <c:v>351.7</c:v>
                </c:pt>
                <c:pt idx="129">
                  <c:v>352.5</c:v>
                </c:pt>
                <c:pt idx="130">
                  <c:v>353.67</c:v>
                </c:pt>
                <c:pt idx="131">
                  <c:v>354.35</c:v>
                </c:pt>
                <c:pt idx="132">
                  <c:v>353.88</c:v>
                </c:pt>
                <c:pt idx="133">
                  <c:v>352.8</c:v>
                </c:pt>
                <c:pt idx="134">
                  <c:v>350.49</c:v>
                </c:pt>
                <c:pt idx="135">
                  <c:v>348.97</c:v>
                </c:pt>
                <c:pt idx="136">
                  <c:v>349.37</c:v>
                </c:pt>
                <c:pt idx="137">
                  <c:v>350.42</c:v>
                </c:pt>
                <c:pt idx="138">
                  <c:v>351.62</c:v>
                </c:pt>
                <c:pt idx="139">
                  <c:v>353.07</c:v>
                </c:pt>
                <c:pt idx="140">
                  <c:v>353.43</c:v>
                </c:pt>
                <c:pt idx="141">
                  <c:v>354.08</c:v>
                </c:pt>
                <c:pt idx="142">
                  <c:v>355.72</c:v>
                </c:pt>
                <c:pt idx="143">
                  <c:v>355.95</c:v>
                </c:pt>
                <c:pt idx="144">
                  <c:v>355.44</c:v>
                </c:pt>
              </c:numCache>
            </c:numRef>
          </c:val>
          <c:smooth val="0"/>
        </c:ser>
        <c:dLbls>
          <c:showLegendKey val="0"/>
          <c:showVal val="0"/>
          <c:showCatName val="0"/>
          <c:showSerName val="0"/>
          <c:showPercent val="0"/>
          <c:showBubbleSize val="0"/>
        </c:dLbls>
        <c:marker val="1"/>
        <c:smooth val="0"/>
        <c:axId val="674168115"/>
        <c:axId val="614114231"/>
      </c:lineChart>
      <c:dateAx>
        <c:axId val="674168115"/>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Tarih</a:t>
                </a:r>
                <a:endParaRPr lang="tr-TR" altLang="zh-CN"/>
              </a:p>
            </c:rich>
          </c:tx>
          <c:layout/>
          <c:overlay val="0"/>
          <c:spPr>
            <a:noFill/>
            <a:ln>
              <a:noFill/>
            </a:ln>
            <a:effectLst/>
          </c:spPr>
        </c:title>
        <c:numFmt formatCode="General" sourceLinked="1"/>
        <c:majorTickMark val="none"/>
        <c:minorTickMark val="none"/>
        <c:tickLblPos val="nextTo"/>
        <c:spPr>
          <a:noFill/>
          <a:ln w="6350" cap="flat" cmpd="sng" algn="ctr">
            <a:solidFill>
              <a:srgbClr val="4874CB">
                <a:alpha val="25000"/>
              </a:srgbClr>
            </a:solidFill>
            <a:round/>
          </a:ln>
          <a:effectLst/>
        </c:spPr>
        <c:txPr>
          <a:bodyPr rot="-60000000" spcFirstLastPara="0" vertOverflow="ellipsis" vert="horz" wrap="square" anchor="ctr" anchorCtr="1"/>
          <a:lstStyle/>
          <a:p>
            <a:pPr>
              <a:defRPr lang="zh-CN" sz="8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14114231"/>
        <c:crosses val="autoZero"/>
        <c:auto val="0"/>
        <c:lblOffset val="100"/>
        <c:baseTimeUnit val="months"/>
        <c:majorUnit val="3"/>
        <c:majorTimeUnit val="months"/>
      </c:dateAx>
      <c:valAx>
        <c:axId val="614114231"/>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CO₂ (ppm)</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74168115"/>
        <c:crosses val="autoZero"/>
        <c:crossBetween val="midCat"/>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315c8192-6a19-4b6e-84c0-e396d95f08fb}"/>
      </c:ext>
    </c:extLst>
  </c:chart>
  <c:spPr>
    <a:solidFill>
      <a:schemeClr val="bg1"/>
    </a:solidFill>
    <a:ln w="6350" cap="flat" cmpd="sng" algn="ctr">
      <a:solidFill>
        <a:schemeClr val="tx1">
          <a:lumMod val="50000"/>
          <a:lumOff val="50000"/>
          <a:alpha val="25000"/>
        </a:schemeClr>
      </a:solidFill>
      <a:round/>
    </a:ln>
    <a:effectLst/>
  </c:spPr>
  <c:txPr>
    <a:bodyPr rot="-180000"/>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28575</xdr:colOff>
      <xdr:row>23</xdr:row>
      <xdr:rowOff>120650</xdr:rowOff>
    </xdr:from>
    <xdr:to>
      <xdr:col>16</xdr:col>
      <xdr:colOff>206375</xdr:colOff>
      <xdr:row>41</xdr:row>
      <xdr:rowOff>24765</xdr:rowOff>
    </xdr:to>
    <xdr:graphicFrame>
      <xdr:nvGraphicFramePr>
        <xdr:cNvPr id="6" name="Grafik 5" descr="7b0a202020202263686172745265734964223a20223230343638363533220a7d0a"/>
        <xdr:cNvGraphicFramePr/>
      </xdr:nvGraphicFramePr>
      <xdr:xfrm>
        <a:off x="7917180" y="4489450"/>
        <a:ext cx="4911725" cy="33331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354330</xdr:colOff>
      <xdr:row>23</xdr:row>
      <xdr:rowOff>88900</xdr:rowOff>
    </xdr:from>
    <xdr:to>
      <xdr:col>29</xdr:col>
      <xdr:colOff>31750</xdr:colOff>
      <xdr:row>41</xdr:row>
      <xdr:rowOff>22225</xdr:rowOff>
    </xdr:to>
    <xdr:graphicFrame>
      <xdr:nvGraphicFramePr>
        <xdr:cNvPr id="2" name="Grafik 1" descr="7b0a202020202263686172745265734964223a20223230343638363533220a7d0a"/>
        <xdr:cNvGraphicFramePr/>
      </xdr:nvGraphicFramePr>
      <xdr:xfrm>
        <a:off x="12976860" y="4457700"/>
        <a:ext cx="7602220" cy="33623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6"/>
  <sheetViews>
    <sheetView tabSelected="1" zoomScale="80" zoomScaleNormal="80" topLeftCell="B13" workbookViewId="0">
      <selection activeCell="N49" sqref="N49:N51"/>
    </sheetView>
  </sheetViews>
  <sheetFormatPr defaultColWidth="9.14285714285714" defaultRowHeight="15"/>
  <cols>
    <col min="3" max="3" width="12.6761904761905" customWidth="1"/>
    <col min="4" max="4" width="15.1809523809524" customWidth="1"/>
    <col min="5" max="5" width="21.6" style="1" customWidth="1"/>
    <col min="8" max="8" width="14" style="2"/>
    <col min="11" max="14" width="12.8571428571429"/>
    <col min="16" max="16" width="10.4285714285714"/>
  </cols>
  <sheetData>
    <row r="1" spans="1:16">
      <c r="A1" t="s">
        <v>0</v>
      </c>
      <c r="B1" t="s">
        <v>1</v>
      </c>
      <c r="C1" t="s">
        <v>2</v>
      </c>
      <c r="D1" t="s">
        <v>3</v>
      </c>
      <c r="E1" s="1" t="s">
        <v>4</v>
      </c>
      <c r="F1" t="s">
        <v>5</v>
      </c>
      <c r="G1" t="s">
        <v>6</v>
      </c>
      <c r="H1" s="2" t="s">
        <v>7</v>
      </c>
      <c r="K1" t="s">
        <v>8</v>
      </c>
      <c r="L1" s="3" t="s">
        <v>0</v>
      </c>
      <c r="M1" s="4" t="s">
        <v>9</v>
      </c>
      <c r="N1" s="5" t="s">
        <v>10</v>
      </c>
    </row>
    <row r="2" spans="1:16">
      <c r="A2" s="6">
        <v>1977</v>
      </c>
      <c r="B2" s="7">
        <v>6</v>
      </c>
      <c r="C2" s="7">
        <v>336.17</v>
      </c>
      <c r="D2" s="7" t="s">
        <v>11</v>
      </c>
      <c r="E2" s="8">
        <v>22</v>
      </c>
      <c r="F2" s="7" t="s">
        <v>12</v>
      </c>
      <c r="G2" s="7" t="s">
        <v>13</v>
      </c>
      <c r="H2" s="9">
        <f>DATE(A2,B2,1)</f>
        <v>28277</v>
      </c>
      <c r="L2" s="10">
        <v>1977</v>
      </c>
      <c r="M2" s="11">
        <f>AVERAGE(C2:C8)</f>
        <v>333.178571428571</v>
      </c>
      <c r="N2" s="29" t="s">
        <v>14</v>
      </c>
      <c r="O2" t="s">
        <v>15</v>
      </c>
    </row>
    <row r="3" spans="1:16">
      <c r="A3" s="13">
        <v>1977</v>
      </c>
      <c r="B3" s="14">
        <v>7</v>
      </c>
      <c r="C3" s="14">
        <v>334.89</v>
      </c>
      <c r="D3" s="14" t="s">
        <v>16</v>
      </c>
      <c r="E3" s="15">
        <v>20</v>
      </c>
      <c r="F3" s="14" t="s">
        <v>17</v>
      </c>
      <c r="G3" s="14" t="s">
        <v>18</v>
      </c>
      <c r="H3" s="9">
        <f t="shared" ref="H3:H34" si="0">DATE(A3,B3,1)</f>
        <v>28307</v>
      </c>
      <c r="L3" s="10">
        <v>1978</v>
      </c>
      <c r="M3" s="16">
        <f>AVERAGE(C9:C20)</f>
        <v>335.415</v>
      </c>
      <c r="N3" s="17">
        <f t="shared" ref="N3:N13" si="1">(M4-M3)</f>
        <v>1.41999999999996</v>
      </c>
    </row>
    <row r="4" spans="1:16">
      <c r="A4" s="13">
        <v>1977</v>
      </c>
      <c r="B4" s="14">
        <v>8</v>
      </c>
      <c r="C4" s="14">
        <v>332.56</v>
      </c>
      <c r="D4" s="14" t="s">
        <v>19</v>
      </c>
      <c r="E4" s="15">
        <v>18</v>
      </c>
      <c r="F4" s="14" t="s">
        <v>20</v>
      </c>
      <c r="G4" s="14" t="s">
        <v>21</v>
      </c>
      <c r="H4" s="9">
        <f t="shared" si="0"/>
        <v>28338</v>
      </c>
      <c r="L4" s="10">
        <v>1979</v>
      </c>
      <c r="M4" s="11">
        <f>AVERAGE(C21:C32)</f>
        <v>336.835</v>
      </c>
      <c r="N4" s="12">
        <f t="shared" si="1"/>
        <v>1.92750000000001</v>
      </c>
      <c r="P4" t="s">
        <v>22</v>
      </c>
    </row>
    <row r="5" spans="1:16">
      <c r="A5" s="13">
        <v>1977</v>
      </c>
      <c r="B5" s="14">
        <v>9</v>
      </c>
      <c r="C5" s="14">
        <v>331.29</v>
      </c>
      <c r="D5" s="14" t="s">
        <v>23</v>
      </c>
      <c r="E5" s="15">
        <v>19</v>
      </c>
      <c r="F5" s="14" t="s">
        <v>20</v>
      </c>
      <c r="G5" s="14" t="s">
        <v>24</v>
      </c>
      <c r="H5" s="9">
        <f t="shared" si="0"/>
        <v>28369</v>
      </c>
      <c r="L5" s="10">
        <v>1980</v>
      </c>
      <c r="M5" s="16">
        <f>AVERAGE(C33:C44)</f>
        <v>338.7625</v>
      </c>
      <c r="N5" s="17">
        <f t="shared" si="1"/>
        <v>1.35750000000002</v>
      </c>
    </row>
    <row r="6" spans="1:16">
      <c r="A6" s="13">
        <v>1977</v>
      </c>
      <c r="B6" s="14">
        <v>10</v>
      </c>
      <c r="C6" s="14">
        <v>331.28</v>
      </c>
      <c r="D6" s="14" t="s">
        <v>25</v>
      </c>
      <c r="E6" s="15">
        <v>23</v>
      </c>
      <c r="F6" s="14" t="s">
        <v>26</v>
      </c>
      <c r="G6" s="14" t="s">
        <v>27</v>
      </c>
      <c r="H6" s="9">
        <f t="shared" si="0"/>
        <v>28399</v>
      </c>
      <c r="L6" s="10">
        <v>1981</v>
      </c>
      <c r="M6" s="11">
        <f>AVERAGE(C45:C56)</f>
        <v>340.12</v>
      </c>
      <c r="N6" s="12">
        <f t="shared" si="1"/>
        <v>1.35833333333301</v>
      </c>
    </row>
    <row r="7" spans="1:16">
      <c r="A7" s="13">
        <v>1977</v>
      </c>
      <c r="B7" s="14">
        <v>11</v>
      </c>
      <c r="C7" s="14">
        <v>332.46</v>
      </c>
      <c r="D7" s="14" t="s">
        <v>28</v>
      </c>
      <c r="E7" s="15">
        <v>21</v>
      </c>
      <c r="F7" s="14" t="s">
        <v>29</v>
      </c>
      <c r="G7" s="14" t="s">
        <v>30</v>
      </c>
      <c r="H7" s="9">
        <f t="shared" si="0"/>
        <v>28430</v>
      </c>
      <c r="L7" s="10">
        <v>1982</v>
      </c>
      <c r="M7" s="16">
        <f>AVERAGE(C57:C68)</f>
        <v>341.478333333333</v>
      </c>
      <c r="N7" s="17">
        <f t="shared" si="1"/>
        <v>1.67416666666696</v>
      </c>
    </row>
    <row r="8" spans="1:16">
      <c r="A8" s="13">
        <v>1977</v>
      </c>
      <c r="B8" s="14">
        <v>12</v>
      </c>
      <c r="C8" s="14">
        <v>333.6</v>
      </c>
      <c r="D8" s="14" t="s">
        <v>31</v>
      </c>
      <c r="E8" s="15">
        <v>25</v>
      </c>
      <c r="F8" s="14" t="s">
        <v>32</v>
      </c>
      <c r="G8" s="14" t="s">
        <v>33</v>
      </c>
      <c r="H8" s="9">
        <f t="shared" si="0"/>
        <v>28460</v>
      </c>
      <c r="L8" s="10">
        <v>1983</v>
      </c>
      <c r="M8" s="11">
        <f>AVERAGE(C69:C80)</f>
        <v>343.1525</v>
      </c>
      <c r="N8" s="12">
        <f t="shared" si="1"/>
        <v>1.71416666666704</v>
      </c>
    </row>
    <row r="9" spans="1:16">
      <c r="A9" s="13">
        <v>1978</v>
      </c>
      <c r="B9" s="14">
        <v>1</v>
      </c>
      <c r="C9" s="14">
        <v>334.94</v>
      </c>
      <c r="D9" s="14" t="s">
        <v>34</v>
      </c>
      <c r="E9" s="15">
        <v>22</v>
      </c>
      <c r="F9" s="14" t="s">
        <v>35</v>
      </c>
      <c r="G9" s="14" t="s">
        <v>21</v>
      </c>
      <c r="H9" s="9">
        <f t="shared" si="0"/>
        <v>28491</v>
      </c>
      <c r="L9" s="10">
        <v>1984</v>
      </c>
      <c r="M9" s="16">
        <f>AVERAGE(C81:C92)</f>
        <v>344.866666666667</v>
      </c>
      <c r="N9" s="17">
        <f t="shared" si="1"/>
        <v>1.48499999999996</v>
      </c>
    </row>
    <row r="10" spans="1:16">
      <c r="A10" s="13">
        <v>1978</v>
      </c>
      <c r="B10" s="14">
        <v>2</v>
      </c>
      <c r="C10" s="14">
        <v>335.26</v>
      </c>
      <c r="D10" s="14" t="s">
        <v>36</v>
      </c>
      <c r="E10" s="15">
        <v>25</v>
      </c>
      <c r="F10" s="14" t="s">
        <v>37</v>
      </c>
      <c r="G10" s="14" t="s">
        <v>38</v>
      </c>
      <c r="H10" s="9">
        <f t="shared" si="0"/>
        <v>28522</v>
      </c>
      <c r="L10" s="10">
        <v>1985</v>
      </c>
      <c r="M10" s="11">
        <f>AVERAGE(C93:C104)</f>
        <v>346.351666666667</v>
      </c>
      <c r="N10" s="12">
        <f t="shared" si="1"/>
        <v>1.25583333333304</v>
      </c>
    </row>
    <row r="11" spans="1:16">
      <c r="A11" s="13">
        <v>1978</v>
      </c>
      <c r="B11" s="14">
        <v>3</v>
      </c>
      <c r="C11" s="14">
        <v>336.66</v>
      </c>
      <c r="D11" s="14" t="s">
        <v>39</v>
      </c>
      <c r="E11" s="15">
        <v>28</v>
      </c>
      <c r="F11" s="14" t="s">
        <v>40</v>
      </c>
      <c r="G11" s="14" t="s">
        <v>21</v>
      </c>
      <c r="H11" s="9">
        <f t="shared" si="0"/>
        <v>28550</v>
      </c>
      <c r="L11" s="10">
        <v>1986</v>
      </c>
      <c r="M11" s="16">
        <f>AVERAGE(C105:C116)</f>
        <v>347.6075</v>
      </c>
      <c r="N11" s="17">
        <f t="shared" si="1"/>
        <v>1.70416666666699</v>
      </c>
    </row>
    <row r="12" spans="1:16">
      <c r="A12" s="13">
        <v>1978</v>
      </c>
      <c r="B12" s="14">
        <v>4</v>
      </c>
      <c r="C12" s="14">
        <v>337.69</v>
      </c>
      <c r="D12" s="14" t="s">
        <v>41</v>
      </c>
      <c r="E12" s="15">
        <v>18</v>
      </c>
      <c r="F12" s="14" t="s">
        <v>42</v>
      </c>
      <c r="G12" s="14" t="s">
        <v>24</v>
      </c>
      <c r="H12" s="9">
        <f t="shared" si="0"/>
        <v>28581</v>
      </c>
      <c r="L12" s="10">
        <v>1987</v>
      </c>
      <c r="M12" s="11">
        <f>AVERAGE(C117:C128)</f>
        <v>349.311666666667</v>
      </c>
      <c r="N12" s="12">
        <f t="shared" si="1"/>
        <v>2.37833333333299</v>
      </c>
    </row>
    <row r="13" spans="1:16">
      <c r="A13" s="13">
        <v>1978</v>
      </c>
      <c r="B13" s="14">
        <v>5</v>
      </c>
      <c r="C13" s="14">
        <v>338.02</v>
      </c>
      <c r="D13" s="14" t="s">
        <v>43</v>
      </c>
      <c r="E13" s="15">
        <v>26</v>
      </c>
      <c r="F13" s="14" t="s">
        <v>20</v>
      </c>
      <c r="G13" s="14" t="s">
        <v>44</v>
      </c>
      <c r="H13" s="9">
        <f t="shared" si="0"/>
        <v>28611</v>
      </c>
      <c r="L13" s="10">
        <v>1988</v>
      </c>
      <c r="M13" s="16">
        <f>AVERAGE(C129:C140)</f>
        <v>351.69</v>
      </c>
      <c r="N13" s="17">
        <f t="shared" si="1"/>
        <v>2.92500000000001</v>
      </c>
    </row>
    <row r="14" spans="1:16">
      <c r="A14" s="13">
        <v>1978</v>
      </c>
      <c r="B14" s="14">
        <v>6</v>
      </c>
      <c r="C14" s="14">
        <v>338.01</v>
      </c>
      <c r="D14" s="14" t="s">
        <v>45</v>
      </c>
      <c r="E14" s="15">
        <v>17</v>
      </c>
      <c r="F14" s="14" t="s">
        <v>46</v>
      </c>
      <c r="G14" s="14" t="s">
        <v>47</v>
      </c>
      <c r="H14" s="9">
        <f t="shared" si="0"/>
        <v>28642</v>
      </c>
      <c r="L14" s="18">
        <v>1989</v>
      </c>
      <c r="M14" s="19">
        <f>AVERAGE(C141:C146)</f>
        <v>354.615</v>
      </c>
      <c r="N14" s="30" t="s">
        <v>48</v>
      </c>
    </row>
    <row r="15" spans="1:16">
      <c r="A15" s="13">
        <v>1978</v>
      </c>
      <c r="B15" s="14">
        <v>7</v>
      </c>
      <c r="C15" s="14">
        <v>336.5</v>
      </c>
      <c r="D15" s="14" t="s">
        <v>49</v>
      </c>
      <c r="E15" s="15">
        <v>20</v>
      </c>
      <c r="F15" s="14" t="s">
        <v>50</v>
      </c>
      <c r="G15" s="14" t="s">
        <v>33</v>
      </c>
      <c r="H15" s="9">
        <f t="shared" si="0"/>
        <v>28672</v>
      </c>
    </row>
    <row r="16" spans="1:16">
      <c r="A16" s="13">
        <v>1978</v>
      </c>
      <c r="B16" s="14">
        <v>8</v>
      </c>
      <c r="C16" s="14">
        <v>334.42</v>
      </c>
      <c r="D16" s="14" t="s">
        <v>51</v>
      </c>
      <c r="E16" s="15">
        <v>19</v>
      </c>
      <c r="F16" s="14" t="s">
        <v>50</v>
      </c>
      <c r="G16" s="14" t="s">
        <v>33</v>
      </c>
      <c r="H16" s="9">
        <f t="shared" si="0"/>
        <v>28703</v>
      </c>
      <c r="L16" t="s">
        <v>52</v>
      </c>
      <c r="N16" t="s">
        <v>53</v>
      </c>
    </row>
    <row r="17" spans="1:18">
      <c r="A17" s="13">
        <v>1978</v>
      </c>
      <c r="B17" s="14">
        <v>9</v>
      </c>
      <c r="C17" s="14">
        <v>332.36</v>
      </c>
      <c r="D17" s="14" t="s">
        <v>54</v>
      </c>
      <c r="E17" s="15">
        <v>17</v>
      </c>
      <c r="F17" s="14" t="s">
        <v>55</v>
      </c>
      <c r="G17" s="14" t="s">
        <v>56</v>
      </c>
      <c r="H17" s="9">
        <f t="shared" si="0"/>
        <v>28734</v>
      </c>
    </row>
    <row r="18" spans="1:18">
      <c r="A18" s="13">
        <v>1978</v>
      </c>
      <c r="B18" s="14">
        <v>10</v>
      </c>
      <c r="C18" s="14">
        <v>332.45</v>
      </c>
      <c r="D18" s="14" t="s">
        <v>57</v>
      </c>
      <c r="E18" s="15">
        <v>21</v>
      </c>
      <c r="F18" s="14" t="s">
        <v>58</v>
      </c>
      <c r="G18" s="14" t="s">
        <v>33</v>
      </c>
      <c r="H18" s="9">
        <f t="shared" si="0"/>
        <v>28764</v>
      </c>
    </row>
    <row r="19" spans="1:18">
      <c r="A19" s="13">
        <v>1978</v>
      </c>
      <c r="B19" s="14">
        <v>11</v>
      </c>
      <c r="C19" s="14">
        <v>333.76</v>
      </c>
      <c r="D19" s="14" t="s">
        <v>59</v>
      </c>
      <c r="E19" s="15">
        <v>24</v>
      </c>
      <c r="F19" s="14" t="s">
        <v>60</v>
      </c>
      <c r="G19" s="14" t="s">
        <v>18</v>
      </c>
      <c r="H19" s="9">
        <f t="shared" si="0"/>
        <v>28795</v>
      </c>
      <c r="K19" t="s">
        <v>61</v>
      </c>
      <c r="N19" s="21" t="s">
        <v>62</v>
      </c>
      <c r="O19" s="21">
        <f>MIN(C1:C157)</f>
        <v>331.28</v>
      </c>
      <c r="P19" s="22" t="s">
        <v>63</v>
      </c>
    </row>
    <row r="20" spans="1:18">
      <c r="A20" s="13">
        <v>1978</v>
      </c>
      <c r="B20" s="14">
        <v>12</v>
      </c>
      <c r="C20" s="14">
        <v>334.91</v>
      </c>
      <c r="D20" s="14" t="s">
        <v>51</v>
      </c>
      <c r="E20" s="15">
        <v>26</v>
      </c>
      <c r="F20" s="14" t="s">
        <v>64</v>
      </c>
      <c r="G20" s="14" t="s">
        <v>27</v>
      </c>
      <c r="H20" s="9">
        <f t="shared" si="0"/>
        <v>28825</v>
      </c>
      <c r="N20" s="23" t="s">
        <v>65</v>
      </c>
      <c r="O20" s="23">
        <f>MAX(C2:C157)</f>
        <v>355.95</v>
      </c>
      <c r="P20" s="24" t="s">
        <v>66</v>
      </c>
    </row>
    <row r="21" ht="14" customHeight="1" spans="1:18">
      <c r="A21" s="13">
        <v>1979</v>
      </c>
      <c r="B21" s="14">
        <v>1</v>
      </c>
      <c r="C21" s="14">
        <v>336.14</v>
      </c>
      <c r="D21" s="14" t="s">
        <v>67</v>
      </c>
      <c r="E21" s="15">
        <v>27</v>
      </c>
      <c r="F21" s="14" t="s">
        <v>68</v>
      </c>
      <c r="G21" s="14" t="s">
        <v>24</v>
      </c>
      <c r="H21" s="9">
        <f t="shared" si="0"/>
        <v>28856</v>
      </c>
    </row>
    <row r="22" spans="1:18">
      <c r="A22" s="13">
        <v>1979</v>
      </c>
      <c r="B22" s="14">
        <v>2</v>
      </c>
      <c r="C22" s="14">
        <v>336.69</v>
      </c>
      <c r="D22" s="14" t="s">
        <v>69</v>
      </c>
      <c r="E22" s="15">
        <v>25</v>
      </c>
      <c r="F22" s="14" t="s">
        <v>70</v>
      </c>
      <c r="G22" s="14" t="s">
        <v>71</v>
      </c>
      <c r="H22" s="9">
        <f t="shared" si="0"/>
        <v>28887</v>
      </c>
      <c r="K22" t="s">
        <v>72</v>
      </c>
    </row>
    <row r="23" spans="1:18">
      <c r="A23" s="13">
        <v>1979</v>
      </c>
      <c r="B23" s="14">
        <v>3</v>
      </c>
      <c r="C23" s="14">
        <v>338.27</v>
      </c>
      <c r="D23" s="14" t="s">
        <v>73</v>
      </c>
      <c r="E23" s="15">
        <v>21</v>
      </c>
      <c r="F23" s="14" t="s">
        <v>74</v>
      </c>
      <c r="G23" s="14" t="s">
        <v>75</v>
      </c>
      <c r="H23" s="9">
        <f t="shared" si="0"/>
        <v>28915</v>
      </c>
      <c r="K23" t="s">
        <v>76</v>
      </c>
      <c r="R23" t="s">
        <v>77</v>
      </c>
    </row>
    <row r="24" spans="1:18">
      <c r="A24" s="13">
        <v>1979</v>
      </c>
      <c r="B24" s="14">
        <v>4</v>
      </c>
      <c r="C24" s="14">
        <v>338.82</v>
      </c>
      <c r="D24" s="14" t="s">
        <v>78</v>
      </c>
      <c r="E24" s="15">
        <v>24</v>
      </c>
      <c r="F24" s="14" t="s">
        <v>79</v>
      </c>
      <c r="G24" s="14" t="s">
        <v>75</v>
      </c>
      <c r="H24" s="9">
        <f t="shared" si="0"/>
        <v>28946</v>
      </c>
    </row>
    <row r="25" spans="1:18">
      <c r="A25" s="13">
        <v>1979</v>
      </c>
      <c r="B25" s="14">
        <v>5</v>
      </c>
      <c r="C25" s="14">
        <v>339.24</v>
      </c>
      <c r="D25" s="14" t="s">
        <v>80</v>
      </c>
      <c r="E25" s="15">
        <v>20</v>
      </c>
      <c r="F25" s="14" t="s">
        <v>37</v>
      </c>
      <c r="G25" s="14" t="s">
        <v>81</v>
      </c>
      <c r="H25" s="9">
        <f t="shared" si="0"/>
        <v>28976</v>
      </c>
    </row>
    <row r="26" spans="1:18">
      <c r="A26" s="13">
        <v>1979</v>
      </c>
      <c r="B26" s="14">
        <v>6</v>
      </c>
      <c r="C26" s="14">
        <v>339.26</v>
      </c>
      <c r="D26" s="14" t="s">
        <v>82</v>
      </c>
      <c r="E26" s="15">
        <v>19</v>
      </c>
      <c r="F26" s="14" t="s">
        <v>56</v>
      </c>
      <c r="G26" s="14" t="s">
        <v>47</v>
      </c>
      <c r="H26" s="9">
        <f t="shared" si="0"/>
        <v>29007</v>
      </c>
    </row>
    <row r="27" spans="1:18">
      <c r="A27" s="13">
        <v>1979</v>
      </c>
      <c r="B27" s="14">
        <v>7</v>
      </c>
      <c r="C27" s="14">
        <v>337.54</v>
      </c>
      <c r="D27" s="14" t="s">
        <v>83</v>
      </c>
      <c r="E27" s="15">
        <v>26</v>
      </c>
      <c r="F27" s="14" t="s">
        <v>40</v>
      </c>
      <c r="G27" s="14" t="s">
        <v>81</v>
      </c>
      <c r="H27" s="9">
        <f t="shared" si="0"/>
        <v>29037</v>
      </c>
    </row>
    <row r="28" spans="1:18">
      <c r="A28" s="13">
        <v>1979</v>
      </c>
      <c r="B28" s="14">
        <v>8</v>
      </c>
      <c r="C28" s="14">
        <v>335.72</v>
      </c>
      <c r="D28" s="14" t="s">
        <v>84</v>
      </c>
      <c r="E28" s="15">
        <v>24</v>
      </c>
      <c r="F28" s="14" t="s">
        <v>85</v>
      </c>
      <c r="G28" s="14" t="s">
        <v>17</v>
      </c>
      <c r="H28" s="9">
        <f t="shared" si="0"/>
        <v>29068</v>
      </c>
    </row>
    <row r="29" spans="1:18">
      <c r="A29" s="13">
        <v>1979</v>
      </c>
      <c r="B29" s="14">
        <v>9</v>
      </c>
      <c r="C29" s="14">
        <v>333.97</v>
      </c>
      <c r="D29" s="14" t="s">
        <v>86</v>
      </c>
      <c r="E29" s="15">
        <v>19</v>
      </c>
      <c r="F29" s="14" t="s">
        <v>87</v>
      </c>
      <c r="G29" s="14" t="s">
        <v>26</v>
      </c>
      <c r="H29" s="9">
        <f t="shared" si="0"/>
        <v>29099</v>
      </c>
    </row>
    <row r="30" spans="1:18">
      <c r="A30" s="13">
        <v>1979</v>
      </c>
      <c r="B30" s="14">
        <v>10</v>
      </c>
      <c r="C30" s="14">
        <v>334.24</v>
      </c>
      <c r="D30" s="14" t="s">
        <v>88</v>
      </c>
      <c r="E30" s="15">
        <v>25</v>
      </c>
      <c r="F30" s="14" t="s">
        <v>89</v>
      </c>
      <c r="G30" s="14" t="s">
        <v>13</v>
      </c>
      <c r="H30" s="9">
        <f t="shared" si="0"/>
        <v>29129</v>
      </c>
    </row>
    <row r="31" spans="1:18">
      <c r="A31" s="13">
        <v>1979</v>
      </c>
      <c r="B31" s="14">
        <v>11</v>
      </c>
      <c r="C31" s="14">
        <v>335.32</v>
      </c>
      <c r="D31" s="14" t="s">
        <v>90</v>
      </c>
      <c r="E31" s="15">
        <v>27</v>
      </c>
      <c r="F31" s="14" t="s">
        <v>70</v>
      </c>
      <c r="G31" s="14" t="s">
        <v>71</v>
      </c>
      <c r="H31" s="9">
        <f t="shared" si="0"/>
        <v>29160</v>
      </c>
    </row>
    <row r="32" spans="1:18">
      <c r="A32" s="13">
        <v>1979</v>
      </c>
      <c r="B32" s="14">
        <v>12</v>
      </c>
      <c r="C32" s="14">
        <v>336.81</v>
      </c>
      <c r="D32" s="14" t="s">
        <v>91</v>
      </c>
      <c r="E32" s="15">
        <v>22</v>
      </c>
      <c r="F32" s="14" t="s">
        <v>17</v>
      </c>
      <c r="G32" s="14" t="s">
        <v>92</v>
      </c>
      <c r="H32" s="9">
        <f t="shared" si="0"/>
        <v>29190</v>
      </c>
    </row>
    <row r="33" spans="1:11">
      <c r="A33" s="13">
        <v>1980</v>
      </c>
      <c r="B33" s="14">
        <v>1</v>
      </c>
      <c r="C33" s="14">
        <v>337.9</v>
      </c>
      <c r="D33" s="14" t="s">
        <v>93</v>
      </c>
      <c r="E33" s="15">
        <v>29</v>
      </c>
      <c r="F33" s="14" t="s">
        <v>94</v>
      </c>
      <c r="G33" s="14" t="s">
        <v>24</v>
      </c>
      <c r="H33" s="9">
        <f t="shared" si="0"/>
        <v>29221</v>
      </c>
    </row>
    <row r="34" spans="1:11">
      <c r="A34" s="13">
        <v>1980</v>
      </c>
      <c r="B34" s="14">
        <v>2</v>
      </c>
      <c r="C34" s="14">
        <v>338.34</v>
      </c>
      <c r="D34" s="14" t="s">
        <v>95</v>
      </c>
      <c r="E34" s="15">
        <v>26</v>
      </c>
      <c r="F34" s="14" t="s">
        <v>96</v>
      </c>
      <c r="G34" s="14" t="s">
        <v>30</v>
      </c>
      <c r="H34" s="9">
        <f t="shared" si="0"/>
        <v>29252</v>
      </c>
    </row>
    <row r="35" spans="1:11">
      <c r="A35" s="13">
        <v>1980</v>
      </c>
      <c r="B35" s="14">
        <v>3</v>
      </c>
      <c r="C35" s="14">
        <v>340.07</v>
      </c>
      <c r="D35" s="14" t="s">
        <v>97</v>
      </c>
      <c r="E35" s="15">
        <v>23</v>
      </c>
      <c r="F35" s="14" t="s">
        <v>98</v>
      </c>
      <c r="G35" s="14" t="s">
        <v>81</v>
      </c>
      <c r="H35" s="9">
        <f t="shared" ref="H35:H66" si="2">DATE(A35,B35,1)</f>
        <v>29281</v>
      </c>
    </row>
    <row r="36" spans="1:11">
      <c r="A36" s="13">
        <v>1980</v>
      </c>
      <c r="B36" s="14">
        <v>4</v>
      </c>
      <c r="C36" s="14">
        <v>340.93</v>
      </c>
      <c r="D36" s="14" t="s">
        <v>99</v>
      </c>
      <c r="E36" s="15">
        <v>24</v>
      </c>
      <c r="F36" s="14" t="s">
        <v>26</v>
      </c>
      <c r="G36" s="14" t="s">
        <v>71</v>
      </c>
      <c r="H36" s="9">
        <f t="shared" si="2"/>
        <v>29312</v>
      </c>
    </row>
    <row r="37" spans="1:11">
      <c r="A37" s="13">
        <v>1980</v>
      </c>
      <c r="B37" s="14">
        <v>5</v>
      </c>
      <c r="C37" s="14">
        <v>341.45</v>
      </c>
      <c r="D37" s="14" t="s">
        <v>100</v>
      </c>
      <c r="E37" s="15">
        <v>24</v>
      </c>
      <c r="F37" s="14" t="s">
        <v>98</v>
      </c>
      <c r="G37" s="14" t="s">
        <v>21</v>
      </c>
      <c r="H37" s="9">
        <f t="shared" si="2"/>
        <v>29342</v>
      </c>
    </row>
    <row r="38" spans="1:11">
      <c r="A38" s="13">
        <v>1980</v>
      </c>
      <c r="B38" s="14">
        <v>6</v>
      </c>
      <c r="C38" s="14">
        <v>341.36</v>
      </c>
      <c r="D38" s="14" t="s">
        <v>101</v>
      </c>
      <c r="E38" s="15">
        <v>20</v>
      </c>
      <c r="F38" s="14" t="s">
        <v>102</v>
      </c>
      <c r="G38" s="14" t="s">
        <v>44</v>
      </c>
      <c r="H38" s="9">
        <f t="shared" si="2"/>
        <v>29373</v>
      </c>
    </row>
    <row r="39" spans="1:11">
      <c r="A39" s="13">
        <v>1980</v>
      </c>
      <c r="B39" s="14">
        <v>7</v>
      </c>
      <c r="C39" s="14">
        <v>339.45</v>
      </c>
      <c r="D39" s="14" t="s">
        <v>103</v>
      </c>
      <c r="E39" s="15">
        <v>26</v>
      </c>
      <c r="F39" s="14" t="s">
        <v>85</v>
      </c>
      <c r="G39" s="14" t="s">
        <v>81</v>
      </c>
      <c r="H39" s="9">
        <f t="shared" si="2"/>
        <v>29403</v>
      </c>
    </row>
    <row r="40" spans="1:11">
      <c r="A40" s="13">
        <v>1980</v>
      </c>
      <c r="B40" s="14">
        <v>8</v>
      </c>
      <c r="C40" s="14">
        <v>337.67</v>
      </c>
      <c r="D40" s="14" t="s">
        <v>104</v>
      </c>
      <c r="E40" s="15">
        <v>16</v>
      </c>
      <c r="F40" s="25" t="s">
        <v>87</v>
      </c>
      <c r="G40" s="14" t="s">
        <v>37</v>
      </c>
      <c r="H40" s="9">
        <f t="shared" si="2"/>
        <v>29434</v>
      </c>
    </row>
    <row r="41" spans="1:11">
      <c r="A41" s="13">
        <v>1980</v>
      </c>
      <c r="B41" s="14">
        <v>9</v>
      </c>
      <c r="C41" s="14">
        <v>336.25</v>
      </c>
      <c r="D41" s="14" t="s">
        <v>105</v>
      </c>
      <c r="E41" s="15">
        <v>15</v>
      </c>
      <c r="F41" s="14" t="s">
        <v>106</v>
      </c>
      <c r="G41" s="14" t="s">
        <v>58</v>
      </c>
      <c r="H41" s="9">
        <f t="shared" si="2"/>
        <v>29465</v>
      </c>
    </row>
    <row r="42" spans="1:11">
      <c r="A42" s="13">
        <v>1980</v>
      </c>
      <c r="B42" s="14">
        <v>10</v>
      </c>
      <c r="C42" s="14">
        <v>336.14</v>
      </c>
      <c r="D42" s="14" t="s">
        <v>107</v>
      </c>
      <c r="E42" s="15">
        <v>26</v>
      </c>
      <c r="F42" s="14" t="s">
        <v>75</v>
      </c>
      <c r="G42" s="14" t="s">
        <v>18</v>
      </c>
      <c r="H42" s="9">
        <f t="shared" si="2"/>
        <v>29495</v>
      </c>
    </row>
    <row r="43" spans="1:11">
      <c r="A43" s="13">
        <v>1980</v>
      </c>
      <c r="B43" s="14">
        <v>11</v>
      </c>
      <c r="C43" s="14">
        <v>337.3</v>
      </c>
      <c r="D43" s="14" t="s">
        <v>108</v>
      </c>
      <c r="E43" s="15">
        <v>27</v>
      </c>
      <c r="F43" s="14" t="s">
        <v>75</v>
      </c>
      <c r="G43" s="14" t="s">
        <v>18</v>
      </c>
      <c r="H43" s="9">
        <f t="shared" si="2"/>
        <v>29526</v>
      </c>
      <c r="K43" t="s">
        <v>109</v>
      </c>
    </row>
    <row r="44" spans="1:11">
      <c r="A44" s="13">
        <v>1980</v>
      </c>
      <c r="B44" s="14">
        <v>12</v>
      </c>
      <c r="C44" s="14">
        <v>338.29</v>
      </c>
      <c r="D44" s="14" t="s">
        <v>110</v>
      </c>
      <c r="E44" s="15">
        <v>24</v>
      </c>
      <c r="F44" s="14" t="s">
        <v>60</v>
      </c>
      <c r="G44" s="14" t="s">
        <v>18</v>
      </c>
      <c r="H44" s="9">
        <f t="shared" si="2"/>
        <v>29556</v>
      </c>
      <c r="K44" t="s">
        <v>111</v>
      </c>
    </row>
    <row r="45" spans="1:11">
      <c r="A45" s="13">
        <v>1981</v>
      </c>
      <c r="B45" s="14">
        <v>1</v>
      </c>
      <c r="C45" s="14">
        <v>339.29</v>
      </c>
      <c r="D45" s="14" t="s">
        <v>112</v>
      </c>
      <c r="E45" s="15">
        <v>28</v>
      </c>
      <c r="F45" s="14" t="s">
        <v>102</v>
      </c>
      <c r="G45" s="14" t="s">
        <v>33</v>
      </c>
      <c r="H45" s="9">
        <f t="shared" si="2"/>
        <v>29587</v>
      </c>
    </row>
    <row r="46" spans="1:11">
      <c r="A46" s="13">
        <v>1981</v>
      </c>
      <c r="B46" s="14">
        <v>2</v>
      </c>
      <c r="C46" s="14">
        <v>340.55</v>
      </c>
      <c r="D46" s="14" t="s">
        <v>113</v>
      </c>
      <c r="E46" s="15">
        <v>25</v>
      </c>
      <c r="F46" s="14" t="s">
        <v>87</v>
      </c>
      <c r="G46" s="14" t="s">
        <v>60</v>
      </c>
      <c r="H46" s="9">
        <f t="shared" si="2"/>
        <v>29618</v>
      </c>
      <c r="K46" t="s">
        <v>114</v>
      </c>
    </row>
    <row r="47" spans="1:11">
      <c r="A47" s="13">
        <v>1981</v>
      </c>
      <c r="B47" s="14">
        <v>3</v>
      </c>
      <c r="C47" s="14">
        <v>341.63</v>
      </c>
      <c r="D47" s="14" t="s">
        <v>115</v>
      </c>
      <c r="E47" s="15">
        <v>25</v>
      </c>
      <c r="F47" s="14" t="s">
        <v>116</v>
      </c>
      <c r="G47" s="14" t="s">
        <v>38</v>
      </c>
      <c r="H47" s="9">
        <f t="shared" si="2"/>
        <v>29646</v>
      </c>
      <c r="K47" s="31" t="s">
        <v>117</v>
      </c>
    </row>
    <row r="48" spans="1:11">
      <c r="A48" s="13">
        <v>1981</v>
      </c>
      <c r="B48" s="14">
        <v>4</v>
      </c>
      <c r="C48" s="14">
        <v>342.6</v>
      </c>
      <c r="D48" s="14" t="s">
        <v>113</v>
      </c>
      <c r="E48" s="15">
        <v>26</v>
      </c>
      <c r="F48" s="14" t="s">
        <v>20</v>
      </c>
      <c r="G48" s="14" t="s">
        <v>44</v>
      </c>
      <c r="H48" s="9">
        <f t="shared" si="2"/>
        <v>29677</v>
      </c>
      <c r="K48" t="s">
        <v>118</v>
      </c>
    </row>
    <row r="49" spans="1:8">
      <c r="A49" s="13">
        <v>1981</v>
      </c>
      <c r="B49" s="14">
        <v>5</v>
      </c>
      <c r="C49" s="14">
        <v>343.04</v>
      </c>
      <c r="D49" s="14" t="s">
        <v>119</v>
      </c>
      <c r="E49" s="15">
        <v>30</v>
      </c>
      <c r="F49" s="14" t="s">
        <v>38</v>
      </c>
      <c r="G49" s="14" t="s">
        <v>120</v>
      </c>
      <c r="H49" s="9">
        <f t="shared" si="2"/>
        <v>29707</v>
      </c>
    </row>
    <row r="50" spans="1:8">
      <c r="A50" s="13">
        <v>1981</v>
      </c>
      <c r="B50" s="14">
        <v>6</v>
      </c>
      <c r="C50" s="14">
        <v>342.54</v>
      </c>
      <c r="D50" s="14" t="s">
        <v>121</v>
      </c>
      <c r="E50" s="15">
        <v>25</v>
      </c>
      <c r="F50" s="14" t="s">
        <v>26</v>
      </c>
      <c r="G50" s="14" t="s">
        <v>71</v>
      </c>
      <c r="H50" s="9">
        <f t="shared" si="2"/>
        <v>29738</v>
      </c>
    </row>
    <row r="51" spans="1:8">
      <c r="A51" s="13">
        <v>1981</v>
      </c>
      <c r="B51" s="14">
        <v>7</v>
      </c>
      <c r="C51" s="14">
        <v>340.82</v>
      </c>
      <c r="D51" s="14" t="s">
        <v>122</v>
      </c>
      <c r="E51" s="15">
        <v>24</v>
      </c>
      <c r="F51" s="14" t="s">
        <v>20</v>
      </c>
      <c r="G51" s="14" t="s">
        <v>30</v>
      </c>
      <c r="H51" s="9">
        <f t="shared" si="2"/>
        <v>29768</v>
      </c>
    </row>
    <row r="52" spans="1:8">
      <c r="A52" s="13">
        <v>1981</v>
      </c>
      <c r="B52" s="14">
        <v>8</v>
      </c>
      <c r="C52" s="14">
        <v>338.48</v>
      </c>
      <c r="D52" s="14" t="s">
        <v>123</v>
      </c>
      <c r="E52" s="15">
        <v>25</v>
      </c>
      <c r="F52" s="14" t="s">
        <v>116</v>
      </c>
      <c r="G52" s="14" t="s">
        <v>30</v>
      </c>
      <c r="H52" s="9">
        <f t="shared" si="2"/>
        <v>29799</v>
      </c>
    </row>
    <row r="53" spans="1:8">
      <c r="A53" s="13">
        <v>1981</v>
      </c>
      <c r="B53" s="14">
        <v>9</v>
      </c>
      <c r="C53" s="14">
        <v>336.95</v>
      </c>
      <c r="D53" s="14" t="s">
        <v>124</v>
      </c>
      <c r="E53" s="15">
        <v>27</v>
      </c>
      <c r="F53" s="14" t="s">
        <v>68</v>
      </c>
      <c r="G53" s="14" t="s">
        <v>24</v>
      </c>
      <c r="H53" s="9">
        <f t="shared" si="2"/>
        <v>29830</v>
      </c>
    </row>
    <row r="54" spans="1:8">
      <c r="A54" s="13">
        <v>1981</v>
      </c>
      <c r="B54" s="14">
        <v>10</v>
      </c>
      <c r="C54" s="14">
        <v>337.05</v>
      </c>
      <c r="D54" s="14" t="s">
        <v>125</v>
      </c>
      <c r="E54" s="15">
        <v>25</v>
      </c>
      <c r="F54" s="14" t="s">
        <v>102</v>
      </c>
      <c r="G54" s="14" t="s">
        <v>47</v>
      </c>
      <c r="H54" s="9">
        <f t="shared" si="2"/>
        <v>29860</v>
      </c>
    </row>
    <row r="55" spans="1:8">
      <c r="A55" s="13">
        <v>1981</v>
      </c>
      <c r="B55" s="14">
        <v>11</v>
      </c>
      <c r="C55" s="14">
        <v>338.58</v>
      </c>
      <c r="D55" s="14" t="s">
        <v>126</v>
      </c>
      <c r="E55" s="15">
        <v>26</v>
      </c>
      <c r="F55" s="14" t="s">
        <v>46</v>
      </c>
      <c r="G55" s="14" t="s">
        <v>27</v>
      </c>
      <c r="H55" s="9">
        <f t="shared" si="2"/>
        <v>29891</v>
      </c>
    </row>
    <row r="56" spans="1:8">
      <c r="A56" s="13">
        <v>1981</v>
      </c>
      <c r="B56" s="14">
        <v>12</v>
      </c>
      <c r="C56" s="14">
        <v>339.91</v>
      </c>
      <c r="D56" s="14" t="s">
        <v>127</v>
      </c>
      <c r="E56" s="15">
        <v>20</v>
      </c>
      <c r="F56" s="14" t="s">
        <v>128</v>
      </c>
      <c r="G56" s="14" t="s">
        <v>27</v>
      </c>
      <c r="H56" s="9">
        <f t="shared" si="2"/>
        <v>29921</v>
      </c>
    </row>
    <row r="57" spans="1:8">
      <c r="A57" s="13">
        <v>1982</v>
      </c>
      <c r="B57" s="14">
        <v>1</v>
      </c>
      <c r="C57" s="14">
        <v>340.93</v>
      </c>
      <c r="D57" s="14" t="s">
        <v>129</v>
      </c>
      <c r="E57" s="15">
        <v>28</v>
      </c>
      <c r="F57" s="14" t="s">
        <v>70</v>
      </c>
      <c r="G57" s="14" t="s">
        <v>71</v>
      </c>
      <c r="H57" s="9">
        <f t="shared" si="2"/>
        <v>29952</v>
      </c>
    </row>
    <row r="58" spans="1:8">
      <c r="A58" s="13">
        <v>1982</v>
      </c>
      <c r="B58" s="14">
        <v>2</v>
      </c>
      <c r="C58" s="14">
        <v>341.76</v>
      </c>
      <c r="D58" s="14" t="s">
        <v>130</v>
      </c>
      <c r="E58" s="15">
        <v>24</v>
      </c>
      <c r="F58" s="14" t="s">
        <v>96</v>
      </c>
      <c r="G58" s="14" t="s">
        <v>38</v>
      </c>
      <c r="H58" s="9">
        <f t="shared" si="2"/>
        <v>29983</v>
      </c>
    </row>
    <row r="59" spans="1:8">
      <c r="A59" s="13">
        <v>1982</v>
      </c>
      <c r="B59" s="14">
        <v>3</v>
      </c>
      <c r="C59" s="14">
        <v>342.78</v>
      </c>
      <c r="D59" s="14" t="s">
        <v>131</v>
      </c>
      <c r="E59" s="15">
        <v>17</v>
      </c>
      <c r="F59" s="14" t="s">
        <v>132</v>
      </c>
      <c r="G59" s="14" t="s">
        <v>38</v>
      </c>
      <c r="H59" s="9">
        <f t="shared" si="2"/>
        <v>30011</v>
      </c>
    </row>
    <row r="60" spans="1:8">
      <c r="A60" s="13">
        <v>1982</v>
      </c>
      <c r="B60" s="14">
        <v>4</v>
      </c>
      <c r="C60" s="14">
        <v>343.96</v>
      </c>
      <c r="D60" s="14" t="s">
        <v>133</v>
      </c>
      <c r="E60" s="15">
        <v>7</v>
      </c>
      <c r="F60" s="14" t="s">
        <v>89</v>
      </c>
      <c r="G60" s="14" t="s">
        <v>46</v>
      </c>
      <c r="H60" s="9">
        <f t="shared" si="2"/>
        <v>30042</v>
      </c>
    </row>
    <row r="61" spans="1:8">
      <c r="A61" s="13">
        <v>1982</v>
      </c>
      <c r="B61" s="14">
        <v>5</v>
      </c>
      <c r="C61" s="14">
        <v>344.77</v>
      </c>
      <c r="D61" s="14" t="s">
        <v>134</v>
      </c>
      <c r="E61" s="15">
        <v>27</v>
      </c>
      <c r="F61" s="14" t="s">
        <v>135</v>
      </c>
      <c r="G61" s="14" t="s">
        <v>33</v>
      </c>
      <c r="H61" s="9">
        <f t="shared" si="2"/>
        <v>30072</v>
      </c>
    </row>
    <row r="62" spans="1:8">
      <c r="A62" s="13">
        <v>1982</v>
      </c>
      <c r="B62" s="14">
        <v>6</v>
      </c>
      <c r="C62" s="14">
        <v>343.88</v>
      </c>
      <c r="D62" s="14" t="s">
        <v>136</v>
      </c>
      <c r="E62" s="15">
        <v>27</v>
      </c>
      <c r="F62" s="14" t="s">
        <v>135</v>
      </c>
      <c r="G62" s="14" t="s">
        <v>33</v>
      </c>
      <c r="H62" s="9">
        <f t="shared" si="2"/>
        <v>30103</v>
      </c>
    </row>
    <row r="63" spans="1:8">
      <c r="A63" s="13">
        <v>1982</v>
      </c>
      <c r="B63" s="14">
        <v>7</v>
      </c>
      <c r="C63" s="14">
        <v>342.42</v>
      </c>
      <c r="D63" s="14" t="s">
        <v>137</v>
      </c>
      <c r="E63" s="15">
        <v>28</v>
      </c>
      <c r="F63" s="14" t="s">
        <v>56</v>
      </c>
      <c r="G63" s="14" t="s">
        <v>138</v>
      </c>
      <c r="H63" s="9">
        <f t="shared" si="2"/>
        <v>30133</v>
      </c>
    </row>
    <row r="64" spans="1:8">
      <c r="A64" s="13">
        <v>1982</v>
      </c>
      <c r="B64" s="14">
        <v>8</v>
      </c>
      <c r="C64" s="14">
        <v>340.24</v>
      </c>
      <c r="D64" s="14" t="s">
        <v>139</v>
      </c>
      <c r="E64" s="15">
        <v>25</v>
      </c>
      <c r="F64" s="14" t="s">
        <v>140</v>
      </c>
      <c r="G64" s="14" t="s">
        <v>17</v>
      </c>
      <c r="H64" s="9">
        <f t="shared" si="2"/>
        <v>30164</v>
      </c>
    </row>
    <row r="65" spans="1:8">
      <c r="A65" s="13">
        <v>1982</v>
      </c>
      <c r="B65" s="14">
        <v>9</v>
      </c>
      <c r="C65" s="14">
        <v>338.37</v>
      </c>
      <c r="D65" s="14" t="s">
        <v>141</v>
      </c>
      <c r="E65" s="15">
        <v>21</v>
      </c>
      <c r="F65" s="14" t="s">
        <v>40</v>
      </c>
      <c r="G65" s="14" t="s">
        <v>60</v>
      </c>
      <c r="H65" s="9">
        <f t="shared" si="2"/>
        <v>30195</v>
      </c>
    </row>
    <row r="66" spans="1:8">
      <c r="A66" s="13">
        <v>1982</v>
      </c>
      <c r="B66" s="14">
        <v>10</v>
      </c>
      <c r="C66" s="14">
        <v>338.41</v>
      </c>
      <c r="D66" s="14" t="s">
        <v>142</v>
      </c>
      <c r="E66" s="15">
        <v>26</v>
      </c>
      <c r="F66" s="14" t="s">
        <v>37</v>
      </c>
      <c r="G66" s="14" t="s">
        <v>38</v>
      </c>
      <c r="H66" s="9">
        <f t="shared" si="2"/>
        <v>30225</v>
      </c>
    </row>
    <row r="67" spans="1:8">
      <c r="A67" s="13">
        <v>1982</v>
      </c>
      <c r="B67" s="14">
        <v>11</v>
      </c>
      <c r="C67" s="14">
        <v>339.44</v>
      </c>
      <c r="D67" s="14" t="s">
        <v>143</v>
      </c>
      <c r="E67" s="15">
        <v>24</v>
      </c>
      <c r="F67" s="14" t="s">
        <v>102</v>
      </c>
      <c r="G67" s="14" t="s">
        <v>47</v>
      </c>
      <c r="H67" s="9">
        <f t="shared" ref="H67:H98" si="3">DATE(A67,B67,1)</f>
        <v>30256</v>
      </c>
    </row>
    <row r="68" spans="1:8">
      <c r="A68" s="13">
        <v>1982</v>
      </c>
      <c r="B68" s="14">
        <v>12</v>
      </c>
      <c r="C68" s="14">
        <v>340.78</v>
      </c>
      <c r="D68" s="14" t="s">
        <v>144</v>
      </c>
      <c r="E68" s="15">
        <v>26</v>
      </c>
      <c r="F68" s="14" t="s">
        <v>70</v>
      </c>
      <c r="G68" s="14" t="s">
        <v>71</v>
      </c>
      <c r="H68" s="9">
        <f t="shared" si="3"/>
        <v>30286</v>
      </c>
    </row>
    <row r="69" spans="1:8">
      <c r="A69" s="13">
        <v>1983</v>
      </c>
      <c r="B69" s="14">
        <v>1</v>
      </c>
      <c r="C69" s="14">
        <v>341.57</v>
      </c>
      <c r="D69" s="14" t="s">
        <v>145</v>
      </c>
      <c r="E69" s="15">
        <v>28</v>
      </c>
      <c r="F69" s="14" t="s">
        <v>146</v>
      </c>
      <c r="G69" s="14" t="s">
        <v>44</v>
      </c>
      <c r="H69" s="9">
        <f t="shared" si="3"/>
        <v>30317</v>
      </c>
    </row>
    <row r="70" spans="1:8">
      <c r="A70" s="13">
        <v>1983</v>
      </c>
      <c r="B70" s="14">
        <v>2</v>
      </c>
      <c r="C70" s="14">
        <v>342.78</v>
      </c>
      <c r="D70" s="14" t="s">
        <v>147</v>
      </c>
      <c r="E70" s="15">
        <v>24</v>
      </c>
      <c r="F70" s="14" t="s">
        <v>135</v>
      </c>
      <c r="G70" s="14" t="s">
        <v>47</v>
      </c>
      <c r="H70" s="9">
        <f t="shared" si="3"/>
        <v>30348</v>
      </c>
    </row>
    <row r="71" spans="1:8">
      <c r="A71" s="13">
        <v>1983</v>
      </c>
      <c r="B71" s="14">
        <v>3</v>
      </c>
      <c r="C71" s="14">
        <v>343.37</v>
      </c>
      <c r="D71" s="14" t="s">
        <v>148</v>
      </c>
      <c r="E71" s="15">
        <v>27</v>
      </c>
      <c r="F71" s="14" t="s">
        <v>149</v>
      </c>
      <c r="G71" s="14" t="s">
        <v>50</v>
      </c>
      <c r="H71" s="9">
        <f t="shared" si="3"/>
        <v>30376</v>
      </c>
    </row>
    <row r="72" spans="1:8">
      <c r="A72" s="13">
        <v>1983</v>
      </c>
      <c r="B72" s="14">
        <v>4</v>
      </c>
      <c r="C72" s="14">
        <v>345.4</v>
      </c>
      <c r="D72" s="14" t="s">
        <v>150</v>
      </c>
      <c r="E72" s="15">
        <v>23</v>
      </c>
      <c r="F72" s="14" t="s">
        <v>26</v>
      </c>
      <c r="G72" s="14" t="s">
        <v>27</v>
      </c>
      <c r="H72" s="9">
        <f t="shared" si="3"/>
        <v>30407</v>
      </c>
    </row>
    <row r="73" spans="1:8">
      <c r="A73" s="13">
        <v>1983</v>
      </c>
      <c r="B73" s="14">
        <v>5</v>
      </c>
      <c r="C73" s="14">
        <v>346.14</v>
      </c>
      <c r="D73" s="14" t="s">
        <v>151</v>
      </c>
      <c r="E73" s="15">
        <v>28</v>
      </c>
      <c r="F73" s="14" t="s">
        <v>152</v>
      </c>
      <c r="G73" s="14" t="s">
        <v>38</v>
      </c>
      <c r="H73" s="9">
        <f t="shared" si="3"/>
        <v>30437</v>
      </c>
    </row>
    <row r="74" spans="1:8">
      <c r="A74" s="13">
        <v>1983</v>
      </c>
      <c r="B74" s="14">
        <v>6</v>
      </c>
      <c r="C74" s="14">
        <v>345.76</v>
      </c>
      <c r="D74" s="14" t="s">
        <v>153</v>
      </c>
      <c r="E74" s="15">
        <v>20</v>
      </c>
      <c r="F74" s="14" t="s">
        <v>70</v>
      </c>
      <c r="G74" s="14" t="s">
        <v>138</v>
      </c>
      <c r="H74" s="9">
        <f t="shared" si="3"/>
        <v>30468</v>
      </c>
    </row>
    <row r="75" spans="1:8">
      <c r="A75" s="13">
        <v>1983</v>
      </c>
      <c r="B75" s="14">
        <v>7</v>
      </c>
      <c r="C75" s="14">
        <v>344.32</v>
      </c>
      <c r="D75" s="14" t="s">
        <v>154</v>
      </c>
      <c r="E75" s="15">
        <v>22</v>
      </c>
      <c r="F75" s="14" t="s">
        <v>94</v>
      </c>
      <c r="G75" s="14" t="s">
        <v>17</v>
      </c>
      <c r="H75" s="9">
        <f t="shared" si="3"/>
        <v>30498</v>
      </c>
    </row>
    <row r="76" spans="1:8">
      <c r="A76" s="13">
        <v>1983</v>
      </c>
      <c r="B76" s="14">
        <v>8</v>
      </c>
      <c r="C76" s="14">
        <v>342.51</v>
      </c>
      <c r="D76" s="14" t="s">
        <v>155</v>
      </c>
      <c r="E76" s="15">
        <v>16</v>
      </c>
      <c r="F76" s="14" t="s">
        <v>156</v>
      </c>
      <c r="G76" s="14" t="s">
        <v>56</v>
      </c>
      <c r="H76" s="9">
        <f t="shared" si="3"/>
        <v>30529</v>
      </c>
    </row>
    <row r="77" spans="1:8">
      <c r="A77" s="13">
        <v>1983</v>
      </c>
      <c r="B77" s="14">
        <v>9</v>
      </c>
      <c r="C77" s="14">
        <v>340.46</v>
      </c>
      <c r="D77" s="14" t="s">
        <v>157</v>
      </c>
      <c r="E77" s="15">
        <v>15</v>
      </c>
      <c r="F77" s="14" t="s">
        <v>37</v>
      </c>
      <c r="G77" s="14" t="s">
        <v>60</v>
      </c>
      <c r="H77" s="9">
        <f t="shared" si="3"/>
        <v>30560</v>
      </c>
    </row>
    <row r="78" spans="1:8">
      <c r="A78" s="13">
        <v>1983</v>
      </c>
      <c r="B78" s="14">
        <v>10</v>
      </c>
      <c r="C78" s="14">
        <v>340.53</v>
      </c>
      <c r="D78" s="14" t="s">
        <v>158</v>
      </c>
      <c r="E78" s="15">
        <v>20</v>
      </c>
      <c r="F78" s="14" t="s">
        <v>46</v>
      </c>
      <c r="G78" s="14" t="s">
        <v>138</v>
      </c>
      <c r="H78" s="9">
        <f t="shared" si="3"/>
        <v>30590</v>
      </c>
    </row>
    <row r="79" spans="1:8">
      <c r="A79" s="13">
        <v>1983</v>
      </c>
      <c r="B79" s="14">
        <v>11</v>
      </c>
      <c r="C79" s="14">
        <v>341.79</v>
      </c>
      <c r="D79" s="14" t="s">
        <v>159</v>
      </c>
      <c r="E79" s="15">
        <v>27</v>
      </c>
      <c r="F79" s="14" t="s">
        <v>64</v>
      </c>
      <c r="G79" s="14" t="s">
        <v>27</v>
      </c>
      <c r="H79" s="9">
        <f t="shared" si="3"/>
        <v>30621</v>
      </c>
    </row>
    <row r="80" spans="1:8">
      <c r="A80" s="13">
        <v>1983</v>
      </c>
      <c r="B80" s="14">
        <v>12</v>
      </c>
      <c r="C80" s="14">
        <v>343.2</v>
      </c>
      <c r="D80" s="14" t="s">
        <v>160</v>
      </c>
      <c r="E80" s="15">
        <v>21</v>
      </c>
      <c r="F80" s="14" t="s">
        <v>60</v>
      </c>
      <c r="G80" s="14" t="s">
        <v>18</v>
      </c>
      <c r="H80" s="9">
        <f t="shared" si="3"/>
        <v>30651</v>
      </c>
    </row>
    <row r="81" spans="1:8">
      <c r="A81" s="13">
        <v>1984</v>
      </c>
      <c r="B81" s="14">
        <v>1</v>
      </c>
      <c r="C81" s="14">
        <v>344.21</v>
      </c>
      <c r="D81" s="14" t="s">
        <v>161</v>
      </c>
      <c r="E81" s="15">
        <v>23</v>
      </c>
      <c r="F81" s="14" t="s">
        <v>12</v>
      </c>
      <c r="G81" s="14" t="s">
        <v>13</v>
      </c>
      <c r="H81" s="9">
        <f t="shared" si="3"/>
        <v>30682</v>
      </c>
    </row>
    <row r="82" spans="1:8">
      <c r="A82" s="13">
        <v>1984</v>
      </c>
      <c r="B82" s="14">
        <v>2</v>
      </c>
      <c r="C82" s="14">
        <v>344.92</v>
      </c>
      <c r="D82" s="14" t="s">
        <v>162</v>
      </c>
      <c r="E82" s="15">
        <v>23</v>
      </c>
      <c r="F82" s="14" t="s">
        <v>50</v>
      </c>
      <c r="G82" s="14" t="s">
        <v>138</v>
      </c>
      <c r="H82" s="9">
        <f t="shared" si="3"/>
        <v>30713</v>
      </c>
    </row>
    <row r="83" spans="1:8">
      <c r="A83" s="13">
        <v>1984</v>
      </c>
      <c r="B83" s="14">
        <v>3</v>
      </c>
      <c r="C83" s="14">
        <v>345.68</v>
      </c>
      <c r="D83" s="14" t="s">
        <v>163</v>
      </c>
      <c r="E83" s="15">
        <v>19</v>
      </c>
      <c r="F83" s="14" t="s">
        <v>70</v>
      </c>
      <c r="G83" s="14" t="s">
        <v>138</v>
      </c>
      <c r="H83" s="9">
        <f t="shared" si="3"/>
        <v>30742</v>
      </c>
    </row>
    <row r="84" spans="1:8">
      <c r="A84" s="13">
        <v>1984</v>
      </c>
      <c r="B84" s="14">
        <v>4</v>
      </c>
      <c r="C84" s="14">
        <v>347.37</v>
      </c>
      <c r="D84" s="14" t="s">
        <v>164</v>
      </c>
      <c r="E84" s="15">
        <v>2</v>
      </c>
      <c r="F84" s="14" t="s">
        <v>165</v>
      </c>
      <c r="G84" s="14" t="s">
        <v>166</v>
      </c>
      <c r="H84" s="9">
        <f t="shared" si="3"/>
        <v>30773</v>
      </c>
    </row>
    <row r="85" spans="1:8">
      <c r="A85" s="13">
        <v>1984</v>
      </c>
      <c r="B85" s="14">
        <v>5</v>
      </c>
      <c r="C85" s="14">
        <v>347.77</v>
      </c>
      <c r="D85" s="14" t="s">
        <v>167</v>
      </c>
      <c r="E85" s="15">
        <v>20</v>
      </c>
      <c r="F85" s="14" t="s">
        <v>89</v>
      </c>
      <c r="G85" s="14" t="s">
        <v>30</v>
      </c>
      <c r="H85" s="9">
        <f t="shared" si="3"/>
        <v>30803</v>
      </c>
    </row>
    <row r="86" spans="1:8">
      <c r="A86" s="13">
        <v>1984</v>
      </c>
      <c r="B86" s="14">
        <v>6</v>
      </c>
      <c r="C86" s="14">
        <v>347.16</v>
      </c>
      <c r="D86" s="14" t="s">
        <v>168</v>
      </c>
      <c r="E86" s="15">
        <v>20</v>
      </c>
      <c r="F86" s="14" t="s">
        <v>46</v>
      </c>
      <c r="G86" s="14" t="s">
        <v>138</v>
      </c>
      <c r="H86" s="9">
        <f t="shared" si="3"/>
        <v>30834</v>
      </c>
    </row>
    <row r="87" spans="1:8">
      <c r="A87" s="13">
        <v>1984</v>
      </c>
      <c r="B87" s="14">
        <v>7</v>
      </c>
      <c r="C87" s="14">
        <v>345.79</v>
      </c>
      <c r="D87" s="14" t="s">
        <v>169</v>
      </c>
      <c r="E87" s="15">
        <v>18</v>
      </c>
      <c r="F87" s="14" t="s">
        <v>64</v>
      </c>
      <c r="G87" s="14" t="s">
        <v>47</v>
      </c>
      <c r="H87" s="9">
        <f t="shared" si="3"/>
        <v>30864</v>
      </c>
    </row>
    <row r="88" spans="1:8">
      <c r="A88" s="13">
        <v>1984</v>
      </c>
      <c r="B88" s="14">
        <v>8</v>
      </c>
      <c r="C88" s="14">
        <v>343.74</v>
      </c>
      <c r="D88" s="14" t="s">
        <v>170</v>
      </c>
      <c r="E88" s="15">
        <v>12</v>
      </c>
      <c r="F88" s="14" t="s">
        <v>171</v>
      </c>
      <c r="G88" s="14" t="s">
        <v>60</v>
      </c>
      <c r="H88" s="9">
        <f t="shared" si="3"/>
        <v>30895</v>
      </c>
    </row>
    <row r="89" spans="1:8">
      <c r="A89" s="13">
        <v>1984</v>
      </c>
      <c r="B89" s="14">
        <v>9</v>
      </c>
      <c r="C89" s="14">
        <v>341.59</v>
      </c>
      <c r="D89" s="14" t="s">
        <v>172</v>
      </c>
      <c r="E89" s="15">
        <v>14</v>
      </c>
      <c r="F89" s="14" t="s">
        <v>173</v>
      </c>
      <c r="G89" s="14" t="s">
        <v>135</v>
      </c>
      <c r="H89" s="9">
        <f t="shared" si="3"/>
        <v>30926</v>
      </c>
    </row>
    <row r="90" spans="1:8">
      <c r="A90" s="13">
        <v>1984</v>
      </c>
      <c r="B90" s="14">
        <v>10</v>
      </c>
      <c r="C90" s="14">
        <v>341.86</v>
      </c>
      <c r="D90" s="14" t="s">
        <v>174</v>
      </c>
      <c r="E90" s="15">
        <v>12</v>
      </c>
      <c r="F90" s="14" t="s">
        <v>32</v>
      </c>
      <c r="G90" s="14" t="s">
        <v>24</v>
      </c>
      <c r="H90" s="9">
        <f t="shared" si="3"/>
        <v>30956</v>
      </c>
    </row>
    <row r="91" spans="1:8">
      <c r="A91" s="13">
        <v>1984</v>
      </c>
      <c r="B91" s="14">
        <v>11</v>
      </c>
      <c r="C91" s="14">
        <v>343.31</v>
      </c>
      <c r="D91" s="14" t="s">
        <v>175</v>
      </c>
      <c r="E91" s="15">
        <v>18</v>
      </c>
      <c r="F91" s="14" t="s">
        <v>132</v>
      </c>
      <c r="G91" s="14" t="s">
        <v>38</v>
      </c>
      <c r="H91" s="9">
        <f t="shared" si="3"/>
        <v>30987</v>
      </c>
    </row>
    <row r="92" spans="1:8">
      <c r="A92" s="13">
        <v>1984</v>
      </c>
      <c r="B92" s="14">
        <v>12</v>
      </c>
      <c r="C92" s="14">
        <v>345</v>
      </c>
      <c r="D92" s="14" t="s">
        <v>176</v>
      </c>
      <c r="E92" s="15">
        <v>14</v>
      </c>
      <c r="F92" s="14" t="s">
        <v>177</v>
      </c>
      <c r="G92" s="14" t="s">
        <v>178</v>
      </c>
      <c r="H92" s="9">
        <f t="shared" si="3"/>
        <v>31017</v>
      </c>
    </row>
    <row r="93" spans="1:8">
      <c r="A93" s="13">
        <v>1985</v>
      </c>
      <c r="B93" s="14">
        <v>1</v>
      </c>
      <c r="C93" s="14">
        <v>345.48</v>
      </c>
      <c r="D93" s="14" t="s">
        <v>179</v>
      </c>
      <c r="E93" s="15">
        <v>25</v>
      </c>
      <c r="F93" s="14" t="s">
        <v>180</v>
      </c>
      <c r="G93" s="14" t="s">
        <v>33</v>
      </c>
      <c r="H93" s="9">
        <f t="shared" si="3"/>
        <v>31048</v>
      </c>
    </row>
    <row r="94" spans="1:8">
      <c r="A94" s="13">
        <v>1985</v>
      </c>
      <c r="B94" s="14">
        <v>2</v>
      </c>
      <c r="C94" s="14">
        <v>346.41</v>
      </c>
      <c r="D94" s="14" t="s">
        <v>181</v>
      </c>
      <c r="E94" s="15">
        <v>15</v>
      </c>
      <c r="F94" s="14" t="s">
        <v>135</v>
      </c>
      <c r="G94" s="14" t="s">
        <v>30</v>
      </c>
      <c r="H94" s="9">
        <f t="shared" si="3"/>
        <v>31079</v>
      </c>
    </row>
    <row r="95" spans="1:8">
      <c r="A95" s="13">
        <v>1985</v>
      </c>
      <c r="B95" s="14">
        <v>3</v>
      </c>
      <c r="C95" s="14">
        <v>347.91</v>
      </c>
      <c r="D95" s="14" t="s">
        <v>182</v>
      </c>
      <c r="E95" s="15">
        <v>17</v>
      </c>
      <c r="F95" s="14" t="s">
        <v>58</v>
      </c>
      <c r="G95" s="14" t="s">
        <v>13</v>
      </c>
      <c r="H95" s="9">
        <f t="shared" si="3"/>
        <v>31107</v>
      </c>
    </row>
    <row r="96" spans="1:8">
      <c r="A96" s="13">
        <v>1985</v>
      </c>
      <c r="B96" s="14">
        <v>4</v>
      </c>
      <c r="C96" s="14">
        <v>348.66</v>
      </c>
      <c r="D96" s="14" t="s">
        <v>183</v>
      </c>
      <c r="E96" s="15">
        <v>21</v>
      </c>
      <c r="F96" s="14" t="s">
        <v>140</v>
      </c>
      <c r="G96" s="14" t="s">
        <v>60</v>
      </c>
      <c r="H96" s="9">
        <f t="shared" si="3"/>
        <v>31138</v>
      </c>
    </row>
    <row r="97" spans="1:8">
      <c r="A97" s="13">
        <v>1985</v>
      </c>
      <c r="B97" s="14">
        <v>5</v>
      </c>
      <c r="C97" s="14">
        <v>349.28</v>
      </c>
      <c r="D97" s="14" t="s">
        <v>184</v>
      </c>
      <c r="E97" s="15">
        <v>20</v>
      </c>
      <c r="F97" s="14" t="s">
        <v>152</v>
      </c>
      <c r="G97" s="14" t="s">
        <v>81</v>
      </c>
      <c r="H97" s="9">
        <f t="shared" si="3"/>
        <v>31168</v>
      </c>
    </row>
    <row r="98" spans="1:8">
      <c r="A98" s="13">
        <v>1985</v>
      </c>
      <c r="B98" s="14">
        <v>6</v>
      </c>
      <c r="C98" s="14">
        <v>348.65</v>
      </c>
      <c r="D98" s="14" t="s">
        <v>185</v>
      </c>
      <c r="E98" s="15">
        <v>21</v>
      </c>
      <c r="F98" s="14" t="s">
        <v>58</v>
      </c>
      <c r="G98" s="14" t="s">
        <v>33</v>
      </c>
      <c r="H98" s="9">
        <f t="shared" si="3"/>
        <v>31199</v>
      </c>
    </row>
    <row r="99" spans="1:8">
      <c r="A99" s="13">
        <v>1985</v>
      </c>
      <c r="B99" s="14">
        <v>7</v>
      </c>
      <c r="C99" s="14">
        <v>346.9</v>
      </c>
      <c r="D99" s="14" t="s">
        <v>183</v>
      </c>
      <c r="E99" s="15">
        <v>17</v>
      </c>
      <c r="F99" s="14" t="s">
        <v>32</v>
      </c>
      <c r="G99" s="14" t="s">
        <v>44</v>
      </c>
      <c r="H99" s="9">
        <f t="shared" ref="H99:H130" si="4">DATE(A99,B99,1)</f>
        <v>31229</v>
      </c>
    </row>
    <row r="100" spans="1:8">
      <c r="A100" s="13">
        <v>1985</v>
      </c>
      <c r="B100" s="14">
        <v>8</v>
      </c>
      <c r="C100" s="14">
        <v>345.26</v>
      </c>
      <c r="D100" s="14" t="s">
        <v>186</v>
      </c>
      <c r="E100" s="15">
        <v>16</v>
      </c>
      <c r="F100" s="14" t="s">
        <v>94</v>
      </c>
      <c r="G100" s="14" t="s">
        <v>178</v>
      </c>
      <c r="H100" s="9">
        <f t="shared" si="4"/>
        <v>31260</v>
      </c>
    </row>
    <row r="101" spans="1:8">
      <c r="A101" s="13">
        <v>1985</v>
      </c>
      <c r="B101" s="14">
        <v>9</v>
      </c>
      <c r="C101" s="14">
        <v>343.47</v>
      </c>
      <c r="D101" s="14" t="s">
        <v>187</v>
      </c>
      <c r="E101" s="15">
        <v>24</v>
      </c>
      <c r="F101" s="14" t="s">
        <v>94</v>
      </c>
      <c r="G101" s="14" t="s">
        <v>81</v>
      </c>
      <c r="H101" s="9">
        <f t="shared" si="4"/>
        <v>31291</v>
      </c>
    </row>
    <row r="102" spans="1:8">
      <c r="A102" s="13">
        <v>1985</v>
      </c>
      <c r="B102" s="14">
        <v>10</v>
      </c>
      <c r="C102" s="14">
        <v>343.35</v>
      </c>
      <c r="D102" s="14" t="s">
        <v>188</v>
      </c>
      <c r="E102" s="15">
        <v>20</v>
      </c>
      <c r="F102" s="14" t="s">
        <v>26</v>
      </c>
      <c r="G102" s="14" t="s">
        <v>138</v>
      </c>
      <c r="H102" s="9">
        <f t="shared" si="4"/>
        <v>31321</v>
      </c>
    </row>
    <row r="103" spans="1:8">
      <c r="A103" s="13">
        <v>1985</v>
      </c>
      <c r="B103" s="14">
        <v>11</v>
      </c>
      <c r="C103" s="14">
        <v>344.73</v>
      </c>
      <c r="D103" s="14" t="s">
        <v>189</v>
      </c>
      <c r="E103" s="15">
        <v>21</v>
      </c>
      <c r="F103" s="14" t="s">
        <v>12</v>
      </c>
      <c r="G103" s="14" t="s">
        <v>44</v>
      </c>
      <c r="H103" s="9">
        <f t="shared" si="4"/>
        <v>31352</v>
      </c>
    </row>
    <row r="104" spans="1:8">
      <c r="A104" s="13">
        <v>1985</v>
      </c>
      <c r="B104" s="14">
        <v>12</v>
      </c>
      <c r="C104" s="14">
        <v>346.12</v>
      </c>
      <c r="D104" s="14" t="s">
        <v>190</v>
      </c>
      <c r="E104" s="15">
        <v>26</v>
      </c>
      <c r="F104" s="14" t="s">
        <v>191</v>
      </c>
      <c r="G104" s="14" t="s">
        <v>17</v>
      </c>
      <c r="H104" s="9">
        <f t="shared" si="4"/>
        <v>31382</v>
      </c>
    </row>
    <row r="105" spans="1:8">
      <c r="A105" s="13">
        <v>1986</v>
      </c>
      <c r="B105" s="14">
        <v>1</v>
      </c>
      <c r="C105" s="14">
        <v>346.78</v>
      </c>
      <c r="D105" s="14" t="s">
        <v>189</v>
      </c>
      <c r="E105" s="15">
        <v>25</v>
      </c>
      <c r="F105" s="14" t="s">
        <v>46</v>
      </c>
      <c r="G105" s="14" t="s">
        <v>27</v>
      </c>
      <c r="H105" s="9">
        <f t="shared" si="4"/>
        <v>31413</v>
      </c>
    </row>
    <row r="106" spans="1:8">
      <c r="A106" s="13">
        <v>1986</v>
      </c>
      <c r="B106" s="14">
        <v>2</v>
      </c>
      <c r="C106" s="14">
        <v>347.48</v>
      </c>
      <c r="D106" s="14" t="s">
        <v>192</v>
      </c>
      <c r="E106" s="15">
        <v>25</v>
      </c>
      <c r="F106" s="14" t="s">
        <v>171</v>
      </c>
      <c r="G106" s="14" t="s">
        <v>44</v>
      </c>
      <c r="H106" s="9">
        <f t="shared" si="4"/>
        <v>31444</v>
      </c>
    </row>
    <row r="107" spans="1:8">
      <c r="A107" s="13">
        <v>1986</v>
      </c>
      <c r="B107" s="14">
        <v>3</v>
      </c>
      <c r="C107" s="14">
        <v>348.25</v>
      </c>
      <c r="D107" s="14" t="s">
        <v>193</v>
      </c>
      <c r="E107" s="15">
        <v>16</v>
      </c>
      <c r="F107" s="14" t="s">
        <v>194</v>
      </c>
      <c r="G107" s="14" t="s">
        <v>58</v>
      </c>
      <c r="H107" s="9">
        <f t="shared" si="4"/>
        <v>31472</v>
      </c>
    </row>
    <row r="108" spans="1:8">
      <c r="A108" s="13">
        <v>1986</v>
      </c>
      <c r="B108" s="14">
        <v>4</v>
      </c>
      <c r="C108" s="14">
        <v>349.86</v>
      </c>
      <c r="D108" s="14" t="s">
        <v>195</v>
      </c>
      <c r="E108" s="15">
        <v>19</v>
      </c>
      <c r="F108" s="14" t="s">
        <v>180</v>
      </c>
      <c r="G108" s="14" t="s">
        <v>44</v>
      </c>
      <c r="H108" s="9">
        <f t="shared" si="4"/>
        <v>31503</v>
      </c>
    </row>
    <row r="109" spans="1:8">
      <c r="A109" s="13">
        <v>1986</v>
      </c>
      <c r="B109" s="14">
        <v>5</v>
      </c>
      <c r="C109" s="14">
        <v>350.52</v>
      </c>
      <c r="D109" s="14" t="s">
        <v>196</v>
      </c>
      <c r="E109" s="15">
        <v>18</v>
      </c>
      <c r="F109" s="14" t="s">
        <v>46</v>
      </c>
      <c r="G109" s="14" t="s">
        <v>33</v>
      </c>
      <c r="H109" s="9">
        <f t="shared" si="4"/>
        <v>31533</v>
      </c>
    </row>
    <row r="110" spans="1:8">
      <c r="A110" s="13">
        <v>1986</v>
      </c>
      <c r="B110" s="14">
        <v>6</v>
      </c>
      <c r="C110" s="14">
        <v>349.98</v>
      </c>
      <c r="D110" s="14" t="s">
        <v>197</v>
      </c>
      <c r="E110" s="15">
        <v>17</v>
      </c>
      <c r="F110" s="14" t="s">
        <v>60</v>
      </c>
      <c r="G110" s="14" t="s">
        <v>71</v>
      </c>
      <c r="H110" s="9">
        <f t="shared" si="4"/>
        <v>31564</v>
      </c>
    </row>
    <row r="111" spans="1:8">
      <c r="A111" s="13">
        <v>1986</v>
      </c>
      <c r="B111" s="14">
        <v>7</v>
      </c>
      <c r="C111" s="14">
        <v>348.25</v>
      </c>
      <c r="D111" s="14" t="s">
        <v>198</v>
      </c>
      <c r="E111" s="15">
        <v>20</v>
      </c>
      <c r="F111" s="14" t="s">
        <v>146</v>
      </c>
      <c r="G111" s="14" t="s">
        <v>24</v>
      </c>
      <c r="H111" s="9">
        <f t="shared" si="4"/>
        <v>31594</v>
      </c>
    </row>
    <row r="112" spans="1:8">
      <c r="A112" s="13">
        <v>1986</v>
      </c>
      <c r="B112" s="14">
        <v>8</v>
      </c>
      <c r="C112" s="14">
        <v>346.17</v>
      </c>
      <c r="D112" s="14" t="s">
        <v>199</v>
      </c>
      <c r="E112" s="15">
        <v>18</v>
      </c>
      <c r="F112" s="14" t="s">
        <v>116</v>
      </c>
      <c r="G112" s="14" t="s">
        <v>21</v>
      </c>
      <c r="H112" s="9">
        <f t="shared" si="4"/>
        <v>31625</v>
      </c>
    </row>
    <row r="113" spans="1:8">
      <c r="A113" s="13">
        <v>1986</v>
      </c>
      <c r="B113" s="14">
        <v>9</v>
      </c>
      <c r="C113" s="14">
        <v>345.48</v>
      </c>
      <c r="D113" s="14" t="s">
        <v>200</v>
      </c>
      <c r="E113" s="15">
        <v>17</v>
      </c>
      <c r="F113" s="14" t="s">
        <v>74</v>
      </c>
      <c r="G113" s="14" t="s">
        <v>26</v>
      </c>
      <c r="H113" s="9">
        <f t="shared" si="4"/>
        <v>31656</v>
      </c>
    </row>
    <row r="114" spans="1:8">
      <c r="A114" s="13">
        <v>1986</v>
      </c>
      <c r="B114" s="14">
        <v>10</v>
      </c>
      <c r="C114" s="14">
        <v>344.82</v>
      </c>
      <c r="D114" s="14" t="s">
        <v>201</v>
      </c>
      <c r="E114" s="15">
        <v>25</v>
      </c>
      <c r="F114" s="14" t="s">
        <v>50</v>
      </c>
      <c r="G114" s="14" t="s">
        <v>27</v>
      </c>
      <c r="H114" s="9">
        <f t="shared" si="4"/>
        <v>31686</v>
      </c>
    </row>
    <row r="115" spans="1:8">
      <c r="A115" s="13">
        <v>1986</v>
      </c>
      <c r="B115" s="14">
        <v>11</v>
      </c>
      <c r="C115" s="14">
        <v>346.22</v>
      </c>
      <c r="D115" s="14" t="s">
        <v>202</v>
      </c>
      <c r="E115" s="15">
        <v>21</v>
      </c>
      <c r="F115" s="14" t="s">
        <v>70</v>
      </c>
      <c r="G115" s="14" t="s">
        <v>138</v>
      </c>
      <c r="H115" s="9">
        <f t="shared" si="4"/>
        <v>31717</v>
      </c>
    </row>
    <row r="116" spans="1:8">
      <c r="A116" s="13">
        <v>1986</v>
      </c>
      <c r="B116" s="14">
        <v>12</v>
      </c>
      <c r="C116" s="14">
        <v>347.48</v>
      </c>
      <c r="D116" s="14" t="s">
        <v>203</v>
      </c>
      <c r="E116" s="15">
        <v>24</v>
      </c>
      <c r="F116" s="14" t="s">
        <v>56</v>
      </c>
      <c r="G116" s="14" t="s">
        <v>33</v>
      </c>
      <c r="H116" s="9">
        <f t="shared" si="4"/>
        <v>31747</v>
      </c>
    </row>
    <row r="117" spans="1:8">
      <c r="A117" s="13">
        <v>1987</v>
      </c>
      <c r="B117" s="14">
        <v>1</v>
      </c>
      <c r="C117" s="14">
        <v>348.73</v>
      </c>
      <c r="D117" s="14" t="s">
        <v>204</v>
      </c>
      <c r="E117" s="15">
        <v>25</v>
      </c>
      <c r="F117" s="14" t="s">
        <v>20</v>
      </c>
      <c r="G117" s="14" t="s">
        <v>44</v>
      </c>
      <c r="H117" s="9">
        <f t="shared" si="4"/>
        <v>31778</v>
      </c>
    </row>
    <row r="118" spans="1:8">
      <c r="A118" s="13">
        <v>1987</v>
      </c>
      <c r="B118" s="14">
        <v>2</v>
      </c>
      <c r="C118" s="14">
        <v>348.92</v>
      </c>
      <c r="D118" s="14" t="s">
        <v>205</v>
      </c>
      <c r="E118" s="15">
        <v>25</v>
      </c>
      <c r="F118" s="14" t="s">
        <v>206</v>
      </c>
      <c r="G118" s="14" t="s">
        <v>81</v>
      </c>
      <c r="H118" s="9">
        <f t="shared" si="4"/>
        <v>31809</v>
      </c>
    </row>
    <row r="119" spans="1:8">
      <c r="A119" s="13">
        <v>1987</v>
      </c>
      <c r="B119" s="14">
        <v>3</v>
      </c>
      <c r="C119" s="14">
        <v>349.81</v>
      </c>
      <c r="D119" s="14" t="s">
        <v>207</v>
      </c>
      <c r="E119" s="15">
        <v>21</v>
      </c>
      <c r="F119" s="14" t="s">
        <v>56</v>
      </c>
      <c r="G119" s="14" t="s">
        <v>47</v>
      </c>
      <c r="H119" s="9">
        <f t="shared" si="4"/>
        <v>31837</v>
      </c>
    </row>
    <row r="120" spans="1:8">
      <c r="A120" s="13">
        <v>1987</v>
      </c>
      <c r="B120" s="14">
        <v>4</v>
      </c>
      <c r="C120" s="14">
        <v>351.4</v>
      </c>
      <c r="D120" s="14" t="s">
        <v>208</v>
      </c>
      <c r="E120" s="15">
        <v>26</v>
      </c>
      <c r="F120" s="14" t="s">
        <v>209</v>
      </c>
      <c r="G120" s="14" t="s">
        <v>60</v>
      </c>
      <c r="H120" s="9">
        <f t="shared" si="4"/>
        <v>31868</v>
      </c>
    </row>
    <row r="121" spans="1:8">
      <c r="A121" s="13">
        <v>1987</v>
      </c>
      <c r="B121" s="14">
        <v>5</v>
      </c>
      <c r="C121" s="14">
        <v>352.15</v>
      </c>
      <c r="D121" s="14" t="s">
        <v>210</v>
      </c>
      <c r="E121" s="15">
        <v>28</v>
      </c>
      <c r="F121" s="14" t="s">
        <v>135</v>
      </c>
      <c r="G121" s="14" t="s">
        <v>138</v>
      </c>
      <c r="H121" s="9">
        <f t="shared" si="4"/>
        <v>31898</v>
      </c>
    </row>
    <row r="122" spans="1:8">
      <c r="A122" s="13">
        <v>1987</v>
      </c>
      <c r="B122" s="14">
        <v>6</v>
      </c>
      <c r="C122" s="14">
        <v>351.58</v>
      </c>
      <c r="D122" s="14" t="s">
        <v>211</v>
      </c>
      <c r="E122" s="15">
        <v>22</v>
      </c>
      <c r="F122" s="14" t="s">
        <v>21</v>
      </c>
      <c r="G122" s="14" t="s">
        <v>92</v>
      </c>
      <c r="H122" s="9">
        <f t="shared" si="4"/>
        <v>31929</v>
      </c>
    </row>
    <row r="123" spans="1:8">
      <c r="A123" s="13">
        <v>1987</v>
      </c>
      <c r="B123" s="14">
        <v>7</v>
      </c>
      <c r="C123" s="14">
        <v>350.21</v>
      </c>
      <c r="D123" s="14" t="s">
        <v>212</v>
      </c>
      <c r="E123" s="15">
        <v>17</v>
      </c>
      <c r="F123" s="14" t="s">
        <v>156</v>
      </c>
      <c r="G123" s="14" t="s">
        <v>58</v>
      </c>
      <c r="H123" s="9">
        <f t="shared" si="4"/>
        <v>31959</v>
      </c>
    </row>
    <row r="124" spans="1:8">
      <c r="A124" s="13">
        <v>1987</v>
      </c>
      <c r="B124" s="14">
        <v>8</v>
      </c>
      <c r="C124" s="14">
        <v>348.2</v>
      </c>
      <c r="D124" s="14" t="s">
        <v>213</v>
      </c>
      <c r="E124" s="15">
        <v>15</v>
      </c>
      <c r="F124" s="14" t="s">
        <v>214</v>
      </c>
      <c r="G124" s="14" t="s">
        <v>89</v>
      </c>
      <c r="H124" s="9">
        <f t="shared" si="4"/>
        <v>31990</v>
      </c>
    </row>
    <row r="125" spans="1:8">
      <c r="A125" s="13">
        <v>1987</v>
      </c>
      <c r="B125" s="14">
        <v>9</v>
      </c>
      <c r="C125" s="14">
        <v>346.66</v>
      </c>
      <c r="D125" s="14" t="s">
        <v>215</v>
      </c>
      <c r="E125" s="15">
        <v>23</v>
      </c>
      <c r="F125" s="14" t="s">
        <v>140</v>
      </c>
      <c r="G125" s="14" t="s">
        <v>216</v>
      </c>
      <c r="H125" s="9">
        <f t="shared" si="4"/>
        <v>32021</v>
      </c>
    </row>
    <row r="126" spans="1:8">
      <c r="A126" s="13">
        <v>1987</v>
      </c>
      <c r="B126" s="14">
        <v>10</v>
      </c>
      <c r="C126" s="14">
        <v>346.72</v>
      </c>
      <c r="D126" s="14" t="s">
        <v>217</v>
      </c>
      <c r="E126" s="15">
        <v>22</v>
      </c>
      <c r="F126" s="14" t="s">
        <v>132</v>
      </c>
      <c r="G126" s="14" t="s">
        <v>44</v>
      </c>
      <c r="H126" s="9">
        <f t="shared" si="4"/>
        <v>32051</v>
      </c>
    </row>
    <row r="127" spans="1:8">
      <c r="A127" s="13">
        <v>1987</v>
      </c>
      <c r="B127" s="14">
        <v>11</v>
      </c>
      <c r="C127" s="14">
        <v>348.08</v>
      </c>
      <c r="D127" s="14" t="s">
        <v>218</v>
      </c>
      <c r="E127" s="15">
        <v>23</v>
      </c>
      <c r="F127" s="14" t="s">
        <v>64</v>
      </c>
      <c r="G127" s="14" t="s">
        <v>138</v>
      </c>
      <c r="H127" s="9">
        <f t="shared" si="4"/>
        <v>32082</v>
      </c>
    </row>
    <row r="128" spans="1:8">
      <c r="A128" s="13">
        <v>1987</v>
      </c>
      <c r="B128" s="14">
        <v>12</v>
      </c>
      <c r="C128" s="14">
        <v>349.28</v>
      </c>
      <c r="D128" s="14" t="s">
        <v>219</v>
      </c>
      <c r="E128" s="15">
        <v>27</v>
      </c>
      <c r="F128" s="14" t="s">
        <v>24</v>
      </c>
      <c r="G128" s="14" t="s">
        <v>220</v>
      </c>
      <c r="H128" s="9">
        <f t="shared" si="4"/>
        <v>32112</v>
      </c>
    </row>
    <row r="129" spans="1:8">
      <c r="A129" s="13">
        <v>1988</v>
      </c>
      <c r="B129" s="14">
        <v>1</v>
      </c>
      <c r="C129" s="14">
        <v>350.51</v>
      </c>
      <c r="D129" s="14" t="s">
        <v>221</v>
      </c>
      <c r="E129" s="15">
        <v>24</v>
      </c>
      <c r="F129" s="14" t="s">
        <v>21</v>
      </c>
      <c r="G129" s="14" t="s">
        <v>220</v>
      </c>
      <c r="H129" s="9">
        <f t="shared" si="4"/>
        <v>32143</v>
      </c>
    </row>
    <row r="130" spans="1:8">
      <c r="A130" s="13">
        <v>1988</v>
      </c>
      <c r="B130" s="14">
        <v>2</v>
      </c>
      <c r="C130" s="14">
        <v>351.7</v>
      </c>
      <c r="D130" s="14" t="s">
        <v>222</v>
      </c>
      <c r="E130" s="15">
        <v>23</v>
      </c>
      <c r="F130" s="14" t="s">
        <v>94</v>
      </c>
      <c r="G130" s="14" t="s">
        <v>17</v>
      </c>
      <c r="H130" s="9">
        <f t="shared" si="4"/>
        <v>32174</v>
      </c>
    </row>
    <row r="131" spans="1:8">
      <c r="A131" s="13">
        <v>1988</v>
      </c>
      <c r="B131" s="14">
        <v>3</v>
      </c>
      <c r="C131" s="14">
        <v>352.5</v>
      </c>
      <c r="D131" s="14" t="s">
        <v>222</v>
      </c>
      <c r="E131" s="15">
        <v>25</v>
      </c>
      <c r="F131" s="14" t="s">
        <v>223</v>
      </c>
      <c r="G131" s="14" t="s">
        <v>70</v>
      </c>
      <c r="H131" s="9">
        <f t="shared" ref="H131:H146" si="5">DATE(A131,B131,1)</f>
        <v>32203</v>
      </c>
    </row>
    <row r="132" spans="1:8">
      <c r="A132" s="13">
        <v>1988</v>
      </c>
      <c r="B132" s="14">
        <v>4</v>
      </c>
      <c r="C132" s="14">
        <v>353.67</v>
      </c>
      <c r="D132" s="14" t="s">
        <v>224</v>
      </c>
      <c r="E132" s="15">
        <v>27</v>
      </c>
      <c r="F132" s="14" t="s">
        <v>116</v>
      </c>
      <c r="G132" s="14" t="s">
        <v>30</v>
      </c>
      <c r="H132" s="9">
        <f t="shared" si="5"/>
        <v>32234</v>
      </c>
    </row>
    <row r="133" spans="1:8">
      <c r="A133" s="13">
        <v>1988</v>
      </c>
      <c r="B133" s="14">
        <v>5</v>
      </c>
      <c r="C133" s="14">
        <v>354.35</v>
      </c>
      <c r="D133" s="14" t="s">
        <v>225</v>
      </c>
      <c r="E133" s="15">
        <v>28</v>
      </c>
      <c r="F133" s="14" t="s">
        <v>135</v>
      </c>
      <c r="G133" s="14" t="s">
        <v>138</v>
      </c>
      <c r="H133" s="9">
        <f t="shared" si="5"/>
        <v>32264</v>
      </c>
    </row>
    <row r="134" spans="1:8">
      <c r="A134" s="13">
        <v>1988</v>
      </c>
      <c r="B134" s="14">
        <v>6</v>
      </c>
      <c r="C134" s="14">
        <v>353.88</v>
      </c>
      <c r="D134" s="14" t="s">
        <v>226</v>
      </c>
      <c r="E134" s="15">
        <v>26</v>
      </c>
      <c r="F134" s="14" t="s">
        <v>70</v>
      </c>
      <c r="G134" s="14" t="s">
        <v>71</v>
      </c>
      <c r="H134" s="9">
        <f t="shared" si="5"/>
        <v>32295</v>
      </c>
    </row>
    <row r="135" spans="1:8">
      <c r="A135" s="13">
        <v>1988</v>
      </c>
      <c r="B135" s="14">
        <v>7</v>
      </c>
      <c r="C135" s="14">
        <v>352.8</v>
      </c>
      <c r="D135" s="14" t="s">
        <v>227</v>
      </c>
      <c r="E135" s="15">
        <v>27</v>
      </c>
      <c r="F135" s="14" t="s">
        <v>96</v>
      </c>
      <c r="G135" s="14" t="s">
        <v>30</v>
      </c>
      <c r="H135" s="9">
        <f t="shared" si="5"/>
        <v>32325</v>
      </c>
    </row>
    <row r="136" spans="1:8">
      <c r="A136" s="13">
        <v>1988</v>
      </c>
      <c r="B136" s="14">
        <v>8</v>
      </c>
      <c r="C136" s="14">
        <v>350.49</v>
      </c>
      <c r="D136" s="14" t="s">
        <v>228</v>
      </c>
      <c r="E136" s="15">
        <v>26</v>
      </c>
      <c r="F136" s="14" t="s">
        <v>191</v>
      </c>
      <c r="G136" s="14" t="s">
        <v>17</v>
      </c>
      <c r="H136" s="9">
        <f t="shared" si="5"/>
        <v>32356</v>
      </c>
    </row>
    <row r="137" spans="1:8">
      <c r="A137" s="13">
        <v>1988</v>
      </c>
      <c r="B137" s="14">
        <v>9</v>
      </c>
      <c r="C137" s="14">
        <v>348.97</v>
      </c>
      <c r="D137" s="14" t="s">
        <v>229</v>
      </c>
      <c r="E137" s="15">
        <v>26</v>
      </c>
      <c r="F137" s="14" t="s">
        <v>146</v>
      </c>
      <c r="G137" s="14" t="s">
        <v>30</v>
      </c>
      <c r="H137" s="9">
        <f t="shared" si="5"/>
        <v>32387</v>
      </c>
    </row>
    <row r="138" spans="1:8">
      <c r="A138" s="13">
        <v>1988</v>
      </c>
      <c r="B138" s="14">
        <v>10</v>
      </c>
      <c r="C138" s="14">
        <v>349.37</v>
      </c>
      <c r="D138" s="14" t="s">
        <v>230</v>
      </c>
      <c r="E138" s="15">
        <v>26</v>
      </c>
      <c r="F138" s="14" t="s">
        <v>46</v>
      </c>
      <c r="G138" s="14" t="s">
        <v>27</v>
      </c>
      <c r="H138" s="9">
        <f t="shared" si="5"/>
        <v>32417</v>
      </c>
    </row>
    <row r="139" spans="1:8">
      <c r="A139" s="13">
        <v>1988</v>
      </c>
      <c r="B139" s="14">
        <v>11</v>
      </c>
      <c r="C139" s="14">
        <v>350.42</v>
      </c>
      <c r="D139" s="14" t="s">
        <v>231</v>
      </c>
      <c r="E139" s="15">
        <v>25</v>
      </c>
      <c r="F139" s="14" t="s">
        <v>24</v>
      </c>
      <c r="G139" s="14" t="s">
        <v>220</v>
      </c>
      <c r="H139" s="9">
        <f t="shared" si="5"/>
        <v>32448</v>
      </c>
    </row>
    <row r="140" spans="1:8">
      <c r="A140" s="13">
        <v>1988</v>
      </c>
      <c r="B140" s="14">
        <v>12</v>
      </c>
      <c r="C140" s="14">
        <v>351.62</v>
      </c>
      <c r="D140" s="14" t="s">
        <v>232</v>
      </c>
      <c r="E140" s="15">
        <v>28</v>
      </c>
      <c r="F140" s="14" t="s">
        <v>32</v>
      </c>
      <c r="G140" s="14" t="s">
        <v>138</v>
      </c>
      <c r="H140" s="9">
        <f t="shared" si="5"/>
        <v>32478</v>
      </c>
    </row>
    <row r="141" spans="1:8">
      <c r="A141" s="13">
        <v>1989</v>
      </c>
      <c r="B141" s="14">
        <v>1</v>
      </c>
      <c r="C141" s="14">
        <v>353.07</v>
      </c>
      <c r="D141" s="14" t="s">
        <v>233</v>
      </c>
      <c r="E141" s="15">
        <v>28</v>
      </c>
      <c r="F141" s="14" t="s">
        <v>171</v>
      </c>
      <c r="G141" s="14" t="s">
        <v>13</v>
      </c>
      <c r="H141" s="9">
        <f t="shared" si="5"/>
        <v>32509</v>
      </c>
    </row>
    <row r="142" spans="1:8">
      <c r="A142" s="13">
        <v>1989</v>
      </c>
      <c r="B142" s="14">
        <v>2</v>
      </c>
      <c r="C142" s="14">
        <v>353.43</v>
      </c>
      <c r="D142" s="14" t="s">
        <v>234</v>
      </c>
      <c r="E142" s="15">
        <v>25</v>
      </c>
      <c r="F142" s="14" t="s">
        <v>180</v>
      </c>
      <c r="G142" s="14" t="s">
        <v>47</v>
      </c>
      <c r="H142" s="9">
        <f t="shared" si="5"/>
        <v>32540</v>
      </c>
    </row>
    <row r="143" spans="1:8">
      <c r="A143" s="13">
        <v>1989</v>
      </c>
      <c r="B143" s="14">
        <v>3</v>
      </c>
      <c r="C143" s="14">
        <v>354.08</v>
      </c>
      <c r="D143" s="14" t="s">
        <v>235</v>
      </c>
      <c r="E143" s="15">
        <v>29</v>
      </c>
      <c r="F143" s="14" t="s">
        <v>177</v>
      </c>
      <c r="G143" s="14" t="s">
        <v>38</v>
      </c>
      <c r="H143" s="9">
        <f t="shared" si="5"/>
        <v>32568</v>
      </c>
    </row>
    <row r="144" spans="1:8">
      <c r="A144" s="13">
        <v>1989</v>
      </c>
      <c r="B144" s="14">
        <v>4</v>
      </c>
      <c r="C144" s="14">
        <v>355.72</v>
      </c>
      <c r="D144" s="14" t="s">
        <v>236</v>
      </c>
      <c r="E144" s="15">
        <v>28</v>
      </c>
      <c r="F144" s="14" t="s">
        <v>146</v>
      </c>
      <c r="G144" s="14" t="s">
        <v>44</v>
      </c>
      <c r="H144" s="9">
        <f t="shared" si="5"/>
        <v>32599</v>
      </c>
    </row>
    <row r="145" spans="1:8">
      <c r="A145" s="13">
        <v>1989</v>
      </c>
      <c r="B145" s="14">
        <v>5</v>
      </c>
      <c r="C145" s="14">
        <v>355.95</v>
      </c>
      <c r="D145" s="14" t="s">
        <v>237</v>
      </c>
      <c r="E145" s="15">
        <v>27</v>
      </c>
      <c r="F145" s="14" t="s">
        <v>96</v>
      </c>
      <c r="G145" s="14" t="s">
        <v>30</v>
      </c>
      <c r="H145" s="9">
        <f t="shared" si="5"/>
        <v>32629</v>
      </c>
    </row>
    <row r="146" spans="1:8">
      <c r="A146" s="26">
        <v>1989</v>
      </c>
      <c r="B146" s="27">
        <v>6</v>
      </c>
      <c r="C146" s="27">
        <v>355.44</v>
      </c>
      <c r="D146" s="27" t="s">
        <v>238</v>
      </c>
      <c r="E146" s="28">
        <v>26</v>
      </c>
      <c r="F146" s="27" t="s">
        <v>89</v>
      </c>
      <c r="G146" s="27" t="s">
        <v>13</v>
      </c>
      <c r="H146" s="9">
        <f t="shared" si="5"/>
        <v>32660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Elektronik Tablolar</Application>
  <HeadingPairs>
    <vt:vector size="2" baseType="variant">
      <vt:variant>
        <vt:lpstr>工作表</vt:lpstr>
      </vt:variant>
      <vt:variant>
        <vt:i4>1</vt:i4>
      </vt:variant>
    </vt:vector>
  </HeadingPairs>
  <TitlesOfParts>
    <vt:vector size="1" baseType="lpstr">
      <vt:lpstr>Sayfa1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zorgülgiller</dc:creator>
  <cp:lastModifiedBy>zorgülgiller</cp:lastModifiedBy>
  <dcterms:created xsi:type="dcterms:W3CDTF">2026-10-10T09:22:00Z</dcterms:created>
  <dcterms:modified xsi:type="dcterms:W3CDTF">2026-10-10T14:08:46Z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82D23DA1A5B043B49A108AC3C0469730_13</vt:lpwstr>
  </property>
  <property fmtid="{D5CDD505-2E9C-101B-9397-08002B2CF9AE}" pid="3" name="KSOProductBuildVer">
    <vt:lpwstr>1055-12.1.0.28485</vt:lpwstr>
  </property>
  <property fmtid="{D5CDD505-2E9C-101B-9397-08002B2CF9AE}" pid="4" name="CalculationRule">
    <vt:i4>1</vt:i4>
  </property>
</Properties>
</file>