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3"/>
  <workbookPr/>
  <xr:revisionPtr revIDLastSave="0" documentId="8_{FA75D6A7-4883-458B-9DB9-C176560DACE3}" xr6:coauthVersionLast="47" xr6:coauthVersionMax="47" xr10:uidLastSave="{00000000-0000-0000-0000-000000000000}"/>
  <bookViews>
    <workbookView xWindow="0" yWindow="0" windowWidth="27945" windowHeight="12255"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0" i="1" l="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O4" i="1"/>
  <c r="H4" i="1"/>
  <c r="O3" i="1"/>
  <c r="H3" i="1"/>
  <c r="H2" i="1"/>
  <c r="H1" i="1"/>
</calcChain>
</file>

<file path=xl/sharedStrings.xml><?xml version="1.0" encoding="utf-8"?>
<sst xmlns="http://schemas.openxmlformats.org/spreadsheetml/2006/main" count="403" uniqueCount="205">
  <si>
    <t>335.51</t>
  </si>
  <si>
    <t>0.75</t>
  </si>
  <si>
    <t>0.35</t>
  </si>
  <si>
    <t>335.72</t>
  </si>
  <si>
    <t>0.34</t>
  </si>
  <si>
    <t>0.14</t>
  </si>
  <si>
    <t>335.99</t>
  </si>
  <si>
    <t>0.25</t>
  </si>
  <si>
    <t>0.10</t>
  </si>
  <si>
    <t>2.  min maks değerler</t>
  </si>
  <si>
    <t xml:space="preserve">Min değer </t>
  </si>
  <si>
    <t>Ekim 1977</t>
  </si>
  <si>
    <t>335.87</t>
  </si>
  <si>
    <t>0.33</t>
  </si>
  <si>
    <t>0.12</t>
  </si>
  <si>
    <t>Maks değer</t>
  </si>
  <si>
    <t>Mayıs 1989</t>
  </si>
  <si>
    <t>336.22</t>
  </si>
  <si>
    <t>0.55</t>
  </si>
  <si>
    <t>0.20</t>
  </si>
  <si>
    <t>336.00</t>
  </si>
  <si>
    <t>0.30</t>
  </si>
  <si>
    <t>0.11</t>
  </si>
  <si>
    <t>3. Grafikler</t>
  </si>
  <si>
    <t>336.56</t>
  </si>
  <si>
    <t>0.63</t>
  </si>
  <si>
    <t>0.26</t>
  </si>
  <si>
    <t>ilk grafik ortalamalardan edinilmiştir</t>
  </si>
  <si>
    <t>ikinci grafik verilerin direkt işlenmesiyle edinilmiştir</t>
  </si>
  <si>
    <t>336.11</t>
  </si>
  <si>
    <t>0.67</t>
  </si>
  <si>
    <t>336.24</t>
  </si>
  <si>
    <t>0.50</t>
  </si>
  <si>
    <t>0.22</t>
  </si>
  <si>
    <t>336.83</t>
  </si>
  <si>
    <t>0.15</t>
  </si>
  <si>
    <t>336.69</t>
  </si>
  <si>
    <t>0.59</t>
  </si>
  <si>
    <t>337.20</t>
  </si>
  <si>
    <t>0.60</t>
  </si>
  <si>
    <t>0.23</t>
  </si>
  <si>
    <t>337.19</t>
  </si>
  <si>
    <t>0.65</t>
  </si>
  <si>
    <t>0.29</t>
  </si>
  <si>
    <t>337.57</t>
  </si>
  <si>
    <t>0.42</t>
  </si>
  <si>
    <t>0.16</t>
  </si>
  <si>
    <t>337.59</t>
  </si>
  <si>
    <t>337.83</t>
  </si>
  <si>
    <t>0.09</t>
  </si>
  <si>
    <t>338.13</t>
  </si>
  <si>
    <t>0.57</t>
  </si>
  <si>
    <t>337.85</t>
  </si>
  <si>
    <t>0.49</t>
  </si>
  <si>
    <t>0.18</t>
  </si>
  <si>
    <t>338.51</t>
  </si>
  <si>
    <t>0.54</t>
  </si>
  <si>
    <t>338.31</t>
  </si>
  <si>
    <t>338.40</t>
  </si>
  <si>
    <t>0.21</t>
  </si>
  <si>
    <t>338.85</t>
  </si>
  <si>
    <t>0.39</t>
  </si>
  <si>
    <t>0.17</t>
  </si>
  <si>
    <t>338.56</t>
  </si>
  <si>
    <t>339.07</t>
  </si>
  <si>
    <t>339.38</t>
  </si>
  <si>
    <t>0.69</t>
  </si>
  <si>
    <t>339.40</t>
  </si>
  <si>
    <t>339.46</t>
  </si>
  <si>
    <t>4. kişisel yorumum</t>
  </si>
  <si>
    <t>339.26</t>
  </si>
  <si>
    <t>Grafikte yıllık ortalama sürekli yükselirken, aylık değerlerde her yıl tekrarlayan bir aşağı yukarı dalgalanma dikkatimi çekti. Bunun mevsimlere göre bitkilerin fotosentez yapmasındaki farktan kaynaklandığını düşünüyorum, çünkü değerler yazın düşüp kışın ve ilkbaharda yükseliyor. Sürekli artışın ise sanayi ve fosil yakıt kullanımı gibi insan faaliyetlerinden kaynaklanabileceğini düşünüyorum. Verilere göre 12 yılda ortalama artış yılda yaklaşık 1,61 ppm.</t>
  </si>
  <si>
    <t>339.42</t>
  </si>
  <si>
    <t>339.98</t>
  </si>
  <si>
    <t>Emre Yavuz ERTAN</t>
  </si>
  <si>
    <t>340.08</t>
  </si>
  <si>
    <t>0.48</t>
  </si>
  <si>
    <t>0.19</t>
  </si>
  <si>
    <t>052680035</t>
  </si>
  <si>
    <t>0.46</t>
  </si>
  <si>
    <t>Meteoroloji dersi</t>
  </si>
  <si>
    <t>339.97</t>
  </si>
  <si>
    <t>0.07</t>
  </si>
  <si>
    <t>340.06</t>
  </si>
  <si>
    <t>339.92</t>
  </si>
  <si>
    <t>339.87</t>
  </si>
  <si>
    <t>340.17</t>
  </si>
  <si>
    <t>340.39</t>
  </si>
  <si>
    <t>340.75</t>
  </si>
  <si>
    <t>0.31</t>
  </si>
  <si>
    <t>340.85</t>
  </si>
  <si>
    <t>0.28</t>
  </si>
  <si>
    <t>341.09</t>
  </si>
  <si>
    <t>341.16</t>
  </si>
  <si>
    <t>341.18</t>
  </si>
  <si>
    <t>0.41</t>
  </si>
  <si>
    <t>341.32</t>
  </si>
  <si>
    <t>341.67</t>
  </si>
  <si>
    <t>0.37</t>
  </si>
  <si>
    <t>341.43</t>
  </si>
  <si>
    <t>341.61</t>
  </si>
  <si>
    <t>0.13</t>
  </si>
  <si>
    <t>341.64</t>
  </si>
  <si>
    <t>0.61</t>
  </si>
  <si>
    <t>341.56</t>
  </si>
  <si>
    <t>341.77</t>
  </si>
  <si>
    <t>341.59</t>
  </si>
  <si>
    <t>341.71</t>
  </si>
  <si>
    <t>341.75</t>
  </si>
  <si>
    <t>0.47</t>
  </si>
  <si>
    <t>342.25</t>
  </si>
  <si>
    <t>341.85</t>
  </si>
  <si>
    <t>0.88</t>
  </si>
  <si>
    <t>0.32</t>
  </si>
  <si>
    <t>342.76</t>
  </si>
  <si>
    <t>342.97</t>
  </si>
  <si>
    <t>0.51</t>
  </si>
  <si>
    <t>343.30</t>
  </si>
  <si>
    <t>343.56</t>
  </si>
  <si>
    <t>343.89</t>
  </si>
  <si>
    <t>0.73</t>
  </si>
  <si>
    <t>343.59</t>
  </si>
  <si>
    <t>343.86</t>
  </si>
  <si>
    <t>343.92</t>
  </si>
  <si>
    <t>344.12</t>
  </si>
  <si>
    <t>344.32</t>
  </si>
  <si>
    <t>0.40</t>
  </si>
  <si>
    <t>344.39</t>
  </si>
  <si>
    <t>344.26</t>
  </si>
  <si>
    <t>344.75</t>
  </si>
  <si>
    <t>-9.99</t>
  </si>
  <si>
    <t>0.00</t>
  </si>
  <si>
    <t>344.59</t>
  </si>
  <si>
    <t>344.73</t>
  </si>
  <si>
    <t>345.02</t>
  </si>
  <si>
    <t>345.12</t>
  </si>
  <si>
    <t>0.45</t>
  </si>
  <si>
    <t>344.76</t>
  </si>
  <si>
    <t>0.72</t>
  </si>
  <si>
    <t>345.19</t>
  </si>
  <si>
    <t>0.36</t>
  </si>
  <si>
    <t>345.41</t>
  </si>
  <si>
    <t>345.88</t>
  </si>
  <si>
    <t>0.53</t>
  </si>
  <si>
    <t>0.27</t>
  </si>
  <si>
    <t>345.59</t>
  </si>
  <si>
    <t>0.38</t>
  </si>
  <si>
    <t>345.92</t>
  </si>
  <si>
    <t>346.56</t>
  </si>
  <si>
    <t>346.08</t>
  </si>
  <si>
    <t>346.12</t>
  </si>
  <si>
    <t>346.23</t>
  </si>
  <si>
    <t>346.57</t>
  </si>
  <si>
    <t>346.59</t>
  </si>
  <si>
    <t>346.60</t>
  </si>
  <si>
    <t>346.82</t>
  </si>
  <si>
    <t>347.04</t>
  </si>
  <si>
    <t>0.62</t>
  </si>
  <si>
    <t>346.98</t>
  </si>
  <si>
    <t>346.93</t>
  </si>
  <si>
    <t>0.70</t>
  </si>
  <si>
    <t>347.29</t>
  </si>
  <si>
    <t>347.42</t>
  </si>
  <si>
    <t>347.61</t>
  </si>
  <si>
    <t>347.43</t>
  </si>
  <si>
    <t>347.51</t>
  </si>
  <si>
    <t>348.61</t>
  </si>
  <si>
    <t>348.04</t>
  </si>
  <si>
    <t>348.28</t>
  </si>
  <si>
    <t>348.36</t>
  </si>
  <si>
    <t>348.66</t>
  </si>
  <si>
    <t>348.24</t>
  </si>
  <si>
    <t>0.58</t>
  </si>
  <si>
    <t>348.39</t>
  </si>
  <si>
    <t>348.84</t>
  </si>
  <si>
    <t>0.68</t>
  </si>
  <si>
    <t>349.09</t>
  </si>
  <si>
    <t>349.29</t>
  </si>
  <si>
    <t>349.51</t>
  </si>
  <si>
    <t>349.65</t>
  </si>
  <si>
    <t>0.85</t>
  </si>
  <si>
    <t>349.85</t>
  </si>
  <si>
    <t>0.24</t>
  </si>
  <si>
    <t>349.96</t>
  </si>
  <si>
    <t>350.15</t>
  </si>
  <si>
    <t>350.14</t>
  </si>
  <si>
    <t>0.08</t>
  </si>
  <si>
    <t>350.49</t>
  </si>
  <si>
    <t>350.99</t>
  </si>
  <si>
    <t>0.78</t>
  </si>
  <si>
    <t>351.03</t>
  </si>
  <si>
    <t>351.22</t>
  </si>
  <si>
    <t>351.55</t>
  </si>
  <si>
    <t>352.16</t>
  </si>
  <si>
    <t>352.01</t>
  </si>
  <si>
    <t>352.18</t>
  </si>
  <si>
    <t>352.62</t>
  </si>
  <si>
    <t>352.53</t>
  </si>
  <si>
    <t>352.52</t>
  </si>
  <si>
    <t>352.99</t>
  </si>
  <si>
    <t>352.69</t>
  </si>
  <si>
    <t>352.60</t>
  </si>
  <si>
    <t>353.07</t>
  </si>
  <si>
    <t>352.78</t>
  </si>
  <si>
    <t>353.06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</si>
</sst>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yyyy"/>
  </numFmts>
  <fonts count="5">
    <font>
      <sz val="11"/>
      <color theme="1"/>
      <name val="Calibri"/>
      <charset val="134"/>
      <scheme val="minor"/>
    </font>
    <font>
      <b/>
      <sz val="11"/>
      <color theme="0"/>
      <name val="Calibri"/>
      <charset val="134"/>
      <scheme val="minor"/>
    </font>
    <font>
      <b/>
      <sz val="11"/>
      <color theme="1"/>
      <name val="Calibri"/>
      <charset val="134"/>
      <scheme val="minor"/>
    </font>
    <font>
      <sz val="11"/>
      <color rgb="FF006100"/>
      <name val="Calibri"/>
      <scheme val="minor"/>
    </font>
    <font>
      <sz val="11"/>
      <color rgb="FF9C0006"/>
      <name val="Calibri"/>
      <scheme val="minor"/>
    </font>
  </fonts>
  <fills count="6">
    <fill>
      <patternFill patternType="none"/>
    </fill>
    <fill>
      <patternFill patternType="gray125"/>
    </fill>
    <fill>
      <patternFill patternType="solid">
        <fgColor theme="4"/>
        <bgColor theme="4"/>
      </patternFill>
    </fill>
    <fill>
      <patternFill patternType="solid">
        <fgColor theme="4" tint="0.79995117038483843"/>
        <bgColor theme="4" tint="0.79995117038483843"/>
      </patternFill>
    </fill>
    <fill>
      <patternFill patternType="solid">
        <fgColor rgb="FFC6EFCE"/>
        <bgColor indexed="64"/>
      </patternFill>
    </fill>
    <fill>
      <patternFill patternType="solid">
        <fgColor rgb="FFFFC7CE"/>
        <bgColor indexed="64"/>
      </patternFill>
    </fill>
  </fills>
  <borders count="5">
    <border>
      <left/>
      <right/>
      <top/>
      <bottom/>
      <diagonal/>
    </border>
    <border>
      <left/>
      <right style="thin">
        <color theme="4"/>
      </right>
      <top style="thin">
        <color theme="4"/>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s>
  <cellStyleXfs count="3">
    <xf numFmtId="0" fontId="0" fillId="0" borderId="0">
      <alignment vertical="center"/>
    </xf>
    <xf numFmtId="0" fontId="3" fillId="4" borderId="0" applyNumberFormat="0" applyBorder="0" applyAlignment="0" applyProtection="0">
      <alignment vertical="center"/>
    </xf>
    <xf numFmtId="0" fontId="4" fillId="5" borderId="0" applyNumberFormat="0" applyBorder="0" applyAlignment="0" applyProtection="0">
      <alignment vertical="center"/>
    </xf>
  </cellStyleXfs>
  <cellXfs count="14">
    <xf numFmtId="0" fontId="0" fillId="0" borderId="0" xfId="0">
      <alignment vertical="center"/>
    </xf>
    <xf numFmtId="0" fontId="0" fillId="0" borderId="0" xfId="0" applyAlignment="1">
      <alignment horizontal="center" vertical="center"/>
    </xf>
    <xf numFmtId="164" fontId="0" fillId="0" borderId="0" xfId="0" applyNumberFormat="1">
      <alignment vertical="center"/>
    </xf>
    <xf numFmtId="164" fontId="1" fillId="2" borderId="1" xfId="0" applyNumberFormat="1" applyFont="1" applyFill="1" applyBorder="1">
      <alignment vertical="center"/>
    </xf>
    <xf numFmtId="0" fontId="2" fillId="3" borderId="2" xfId="0" applyFont="1" applyFill="1" applyBorder="1">
      <alignment vertical="center"/>
    </xf>
    <xf numFmtId="0" fontId="3" fillId="4" borderId="0" xfId="1">
      <alignment vertical="center"/>
    </xf>
    <xf numFmtId="49" fontId="3" fillId="4" borderId="0" xfId="1" applyNumberFormat="1">
      <alignment vertical="center"/>
    </xf>
    <xf numFmtId="0" fontId="4" fillId="5" borderId="0" xfId="2">
      <alignment vertical="center"/>
    </xf>
    <xf numFmtId="49" fontId="4" fillId="5" borderId="0" xfId="2" applyNumberFormat="1">
      <alignment vertical="center"/>
    </xf>
    <xf numFmtId="16" fontId="0" fillId="0" borderId="0" xfId="0" applyNumberFormat="1">
      <alignment vertical="center"/>
    </xf>
    <xf numFmtId="0" fontId="2" fillId="3" borderId="3" xfId="0" applyFont="1" applyFill="1" applyBorder="1">
      <alignment vertical="center"/>
    </xf>
    <xf numFmtId="0" fontId="0" fillId="0" borderId="4" xfId="0" applyBorder="1">
      <alignment vertical="center"/>
    </xf>
    <xf numFmtId="0" fontId="0" fillId="0" borderId="4" xfId="0" applyBorder="1" applyAlignment="1">
      <alignment horizontal="center" vertical="center"/>
    </xf>
    <xf numFmtId="0" fontId="0" fillId="0" borderId="0" xfId="0" quotePrefix="1">
      <alignment vertical="center"/>
    </xf>
  </cellXfs>
  <cellStyles count="3">
    <cellStyle name="İyi" xfId="1" builtinId="26"/>
    <cellStyle name="Kötü" xfId="2" builtinId="27"/>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Yıllık Ortalama Karbondioksit Konsantrasyonu (ppm)</a:t>
            </a:r>
          </a:p>
          <a:p>
            <a:pPr>
              <a:defRPr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38684210526316"/>
          <c:y val="3.4642032332563501E-2"/>
        </c:manualLayout>
      </c:layout>
      <c:overlay val="0"/>
      <c:spPr>
        <a:noFill/>
        <a:ln>
          <a:noFill/>
        </a:ln>
        <a:effectLst/>
      </c:spPr>
      <c:txPr>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txPr>
    </c:title>
    <c:autoTitleDeleted val="0"/>
    <c:plotArea>
      <c:layout>
        <c:manualLayout>
          <c:layoutTarget val="inner"/>
          <c:xMode val="edge"/>
          <c:yMode val="edge"/>
          <c:x val="0.13239254272397699"/>
          <c:y val="0.35606782244237001"/>
          <c:w val="0.82993267736923904"/>
          <c:h val="0.45902076586016399"/>
        </c:manualLayout>
      </c:layout>
      <c:lineChart>
        <c:grouping val="standard"/>
        <c:varyColors val="0"/>
        <c:ser>
          <c:idx val="1"/>
          <c:order val="1"/>
          <c:tx>
            <c:strRef>
              <c:f>Sayfa1!#REF!</c:f>
              <c:strCache>
                <c:ptCount val="1"/>
                <c:pt idx="0">
                  <c:v>#BAŞV!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Sayfa1!#REF!</c:f>
              <c:strCache>
                <c:ptCount val="1"/>
                <c:pt idx="0">
                  <c:v>#BAŞV!</c:v>
                </c:pt>
              </c:strCache>
            </c:strRef>
          </c:cat>
          <c:val>
            <c:numRef>
              <c:f>Sayfa1!#REF!</c:f>
              <c:numCache>
                <c:formatCode>General</c:formatCode>
                <c:ptCount val="1"/>
                <c:pt idx="0">
                  <c:v>1</c:v>
                </c:pt>
              </c:numCache>
            </c:numRef>
          </c:val>
          <c:smooth val="0"/>
          <c:extLst>
            <c:ext xmlns:c16="http://schemas.microsoft.com/office/drawing/2014/chart" uri="{C3380CC4-5D6E-409C-BE32-E72D297353CC}">
              <c16:uniqueId val="{00000000-3D27-4B31-9549-03A10DD674E6}"/>
            </c:ext>
          </c:extLst>
        </c:ser>
        <c:dLbls>
          <c:showLegendKey val="0"/>
          <c:showVal val="0"/>
          <c:showCatName val="0"/>
          <c:showSerName val="0"/>
          <c:showPercent val="0"/>
          <c:showBubbleSize val="0"/>
        </c:dLbls>
        <c:marker val="1"/>
        <c:smooth val="0"/>
        <c:axId val="31481521"/>
        <c:axId val="508246907"/>
        <c:extLst>
          <c:ext xmlns:c15="http://schemas.microsoft.com/office/drawing/2012/chart" uri="{02D57815-91ED-43cb-92C2-25804820EDAC}">
            <c15:filteredLineSeries>
              <c15:ser>
                <c:idx val="0"/>
                <c:order val="0"/>
                <c:tx>
                  <c:strRef>
                    <c:extLst>
                      <c:ext uri="{02D57815-91ED-43cb-92C2-25804820EDAC}">
                        <c15:formulaRef>
                          <c15:sqref>Sayfa1!#REF!</c15:sqref>
                        </c15:formulaRef>
                      </c:ext>
                    </c:extLst>
                    <c:strCache>
                      <c:ptCount val="1"/>
                      <c:pt idx="0">
                        <c:v>#BAŞV!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Sayfa1!#REF!</c15:sqref>
                        </c15:formulaRef>
                      </c:ext>
                    </c:extLst>
                    <c:strCache>
                      <c:ptCount val="1"/>
                      <c:pt idx="0">
                        <c:v>#BAŞV!</c:v>
                      </c:pt>
                    </c:strCache>
                  </c:strRef>
                </c:cat>
                <c:val>
                  <c:numRef>
                    <c:extLst>
                      <c:ext uri="{02D57815-91ED-43cb-92C2-25804820EDAC}">
                        <c15:formulaRef>
                          <c15:sqref>Sayfa1!#REF!</c15:sqref>
                        </c15:formulaRef>
                      </c:ext>
                    </c:extLst>
                    <c:numCache>
                      <c:formatCode>General</c:formatCode>
                      <c:ptCount val="1"/>
                      <c:pt idx="0">
                        <c:v>1</c:v>
                      </c:pt>
                    </c:numCache>
                  </c:numRef>
                </c:val>
                <c:smooth val="0"/>
                <c:extLst>
                  <c:ext xmlns:c16="http://schemas.microsoft.com/office/drawing/2014/chart" uri="{C3380CC4-5D6E-409C-BE32-E72D297353CC}">
                    <c16:uniqueId val="{00000001-3D27-4B31-9549-03A10DD674E6}"/>
                  </c:ext>
                </c:extLst>
              </c15:ser>
            </c15:filteredLineSeries>
          </c:ext>
        </c:extLst>
      </c:lineChart>
      <c:catAx>
        <c:axId val="31481521"/>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p>
            </c:rich>
          </c:tx>
          <c:overlay val="0"/>
          <c:spPr>
            <a:noFill/>
            <a:ln>
              <a:noFill/>
            </a:ln>
            <a:effectLst/>
          </c:spPr>
          <c:txPr>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508246907"/>
        <c:crosses val="autoZero"/>
        <c:auto val="1"/>
        <c:lblAlgn val="ctr"/>
        <c:lblOffset val="100"/>
        <c:noMultiLvlLbl val="0"/>
      </c:catAx>
      <c:valAx>
        <c:axId val="508246907"/>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CO₂ (ppm)</a:t>
                </a:r>
              </a:p>
            </c:rich>
          </c:tx>
          <c:overlay val="0"/>
          <c:spPr>
            <a:noFill/>
            <a:ln>
              <a:noFill/>
            </a:ln>
            <a:effectLst/>
          </c:spPr>
          <c:txPr>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31481521"/>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456fd70c-fc63-4c8b-9cd5-2010c633b934}"/>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Aylık Karbondioksit Konsantrasyonu (ppm)</a:t>
            </a:r>
          </a:p>
          <a:p>
            <a:pPr>
              <a:defRPr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7398282110562799"/>
          <c:y val="1.3816100094428701E-2"/>
        </c:manualLayout>
      </c:layout>
      <c:overlay val="0"/>
      <c:spPr>
        <a:noFill/>
        <a:ln>
          <a:noFill/>
        </a:ln>
        <a:effectLst/>
      </c:spPr>
      <c:txPr>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(Sayfa1!$H$1:$H$130)</c:f>
              <c:numCache>
                <c:formatCode>mmmm\ yyyy</c:formatCode>
                <c:ptCount val="130"/>
                <c:pt idx="0">
                  <c:v>28734</c:v>
                </c:pt>
                <c:pt idx="1">
                  <c:v>28764</c:v>
                </c:pt>
                <c:pt idx="2">
                  <c:v>28795</c:v>
                </c:pt>
                <c:pt idx="3">
                  <c:v>28825</c:v>
                </c:pt>
                <c:pt idx="4">
                  <c:v>28856</c:v>
                </c:pt>
                <c:pt idx="5">
                  <c:v>28887</c:v>
                </c:pt>
                <c:pt idx="6">
                  <c:v>28915</c:v>
                </c:pt>
                <c:pt idx="7">
                  <c:v>28946</c:v>
                </c:pt>
                <c:pt idx="8">
                  <c:v>28976</c:v>
                </c:pt>
                <c:pt idx="9">
                  <c:v>29007</c:v>
                </c:pt>
                <c:pt idx="10">
                  <c:v>29037</c:v>
                </c:pt>
                <c:pt idx="11">
                  <c:v>29068</c:v>
                </c:pt>
                <c:pt idx="12">
                  <c:v>29099</c:v>
                </c:pt>
                <c:pt idx="13">
                  <c:v>29129</c:v>
                </c:pt>
                <c:pt idx="14">
                  <c:v>29160</c:v>
                </c:pt>
                <c:pt idx="15">
                  <c:v>29190</c:v>
                </c:pt>
                <c:pt idx="16">
                  <c:v>29221</c:v>
                </c:pt>
                <c:pt idx="17">
                  <c:v>29252</c:v>
                </c:pt>
                <c:pt idx="18">
                  <c:v>29281</c:v>
                </c:pt>
                <c:pt idx="19">
                  <c:v>29312</c:v>
                </c:pt>
                <c:pt idx="20">
                  <c:v>29342</c:v>
                </c:pt>
                <c:pt idx="21">
                  <c:v>29373</c:v>
                </c:pt>
                <c:pt idx="22">
                  <c:v>29403</c:v>
                </c:pt>
                <c:pt idx="23">
                  <c:v>29434</c:v>
                </c:pt>
                <c:pt idx="24">
                  <c:v>29465</c:v>
                </c:pt>
                <c:pt idx="25">
                  <c:v>29495</c:v>
                </c:pt>
                <c:pt idx="26">
                  <c:v>29526</c:v>
                </c:pt>
                <c:pt idx="27">
                  <c:v>29556</c:v>
                </c:pt>
                <c:pt idx="28">
                  <c:v>29587</c:v>
                </c:pt>
                <c:pt idx="29">
                  <c:v>29618</c:v>
                </c:pt>
                <c:pt idx="30">
                  <c:v>29646</c:v>
                </c:pt>
                <c:pt idx="31">
                  <c:v>29677</c:v>
                </c:pt>
                <c:pt idx="32">
                  <c:v>29707</c:v>
                </c:pt>
                <c:pt idx="33">
                  <c:v>29738</c:v>
                </c:pt>
                <c:pt idx="34">
                  <c:v>29768</c:v>
                </c:pt>
                <c:pt idx="35">
                  <c:v>29799</c:v>
                </c:pt>
                <c:pt idx="36">
                  <c:v>29830</c:v>
                </c:pt>
                <c:pt idx="37">
                  <c:v>29860</c:v>
                </c:pt>
                <c:pt idx="38">
                  <c:v>29891</c:v>
                </c:pt>
                <c:pt idx="39">
                  <c:v>29921</c:v>
                </c:pt>
                <c:pt idx="40">
                  <c:v>29952</c:v>
                </c:pt>
                <c:pt idx="41">
                  <c:v>29983</c:v>
                </c:pt>
                <c:pt idx="42">
                  <c:v>30011</c:v>
                </c:pt>
                <c:pt idx="43">
                  <c:v>30042</c:v>
                </c:pt>
                <c:pt idx="44">
                  <c:v>30072</c:v>
                </c:pt>
                <c:pt idx="45">
                  <c:v>30103</c:v>
                </c:pt>
                <c:pt idx="46">
                  <c:v>30133</c:v>
                </c:pt>
                <c:pt idx="47">
                  <c:v>30164</c:v>
                </c:pt>
                <c:pt idx="48">
                  <c:v>30195</c:v>
                </c:pt>
                <c:pt idx="49">
                  <c:v>30225</c:v>
                </c:pt>
                <c:pt idx="50">
                  <c:v>30256</c:v>
                </c:pt>
                <c:pt idx="51">
                  <c:v>30286</c:v>
                </c:pt>
                <c:pt idx="52">
                  <c:v>30317</c:v>
                </c:pt>
                <c:pt idx="53">
                  <c:v>30348</c:v>
                </c:pt>
                <c:pt idx="54">
                  <c:v>30376</c:v>
                </c:pt>
                <c:pt idx="55">
                  <c:v>30407</c:v>
                </c:pt>
                <c:pt idx="56">
                  <c:v>30437</c:v>
                </c:pt>
                <c:pt idx="57">
                  <c:v>30468</c:v>
                </c:pt>
                <c:pt idx="58">
                  <c:v>30498</c:v>
                </c:pt>
                <c:pt idx="59">
                  <c:v>30529</c:v>
                </c:pt>
                <c:pt idx="60">
                  <c:v>30560</c:v>
                </c:pt>
                <c:pt idx="61">
                  <c:v>30590</c:v>
                </c:pt>
                <c:pt idx="62">
                  <c:v>30621</c:v>
                </c:pt>
                <c:pt idx="63">
                  <c:v>30651</c:v>
                </c:pt>
                <c:pt idx="64">
                  <c:v>30682</c:v>
                </c:pt>
                <c:pt idx="65">
                  <c:v>30713</c:v>
                </c:pt>
                <c:pt idx="66">
                  <c:v>30742</c:v>
                </c:pt>
                <c:pt idx="67">
                  <c:v>30773</c:v>
                </c:pt>
                <c:pt idx="68">
                  <c:v>30803</c:v>
                </c:pt>
                <c:pt idx="69">
                  <c:v>30834</c:v>
                </c:pt>
                <c:pt idx="70">
                  <c:v>30864</c:v>
                </c:pt>
                <c:pt idx="71">
                  <c:v>30895</c:v>
                </c:pt>
                <c:pt idx="72">
                  <c:v>30926</c:v>
                </c:pt>
                <c:pt idx="73">
                  <c:v>30956</c:v>
                </c:pt>
                <c:pt idx="74">
                  <c:v>30987</c:v>
                </c:pt>
                <c:pt idx="75">
                  <c:v>31017</c:v>
                </c:pt>
                <c:pt idx="76">
                  <c:v>31048</c:v>
                </c:pt>
                <c:pt idx="77">
                  <c:v>31079</c:v>
                </c:pt>
                <c:pt idx="78">
                  <c:v>31107</c:v>
                </c:pt>
                <c:pt idx="79">
                  <c:v>31138</c:v>
                </c:pt>
                <c:pt idx="80">
                  <c:v>31168</c:v>
                </c:pt>
                <c:pt idx="81">
                  <c:v>31199</c:v>
                </c:pt>
                <c:pt idx="82">
                  <c:v>31229</c:v>
                </c:pt>
                <c:pt idx="83">
                  <c:v>31260</c:v>
                </c:pt>
                <c:pt idx="84">
                  <c:v>31291</c:v>
                </c:pt>
                <c:pt idx="85">
                  <c:v>31321</c:v>
                </c:pt>
                <c:pt idx="86">
                  <c:v>31352</c:v>
                </c:pt>
                <c:pt idx="87">
                  <c:v>31382</c:v>
                </c:pt>
                <c:pt idx="88">
                  <c:v>31413</c:v>
                </c:pt>
                <c:pt idx="89">
                  <c:v>31444</c:v>
                </c:pt>
                <c:pt idx="90">
                  <c:v>31472</c:v>
                </c:pt>
                <c:pt idx="91">
                  <c:v>31503</c:v>
                </c:pt>
                <c:pt idx="92">
                  <c:v>31533</c:v>
                </c:pt>
                <c:pt idx="93">
                  <c:v>31564</c:v>
                </c:pt>
                <c:pt idx="94">
                  <c:v>31594</c:v>
                </c:pt>
                <c:pt idx="95">
                  <c:v>31625</c:v>
                </c:pt>
                <c:pt idx="96">
                  <c:v>31656</c:v>
                </c:pt>
                <c:pt idx="97">
                  <c:v>31686</c:v>
                </c:pt>
                <c:pt idx="98">
                  <c:v>31717</c:v>
                </c:pt>
                <c:pt idx="99">
                  <c:v>31747</c:v>
                </c:pt>
                <c:pt idx="100">
                  <c:v>31778</c:v>
                </c:pt>
                <c:pt idx="101">
                  <c:v>31809</c:v>
                </c:pt>
                <c:pt idx="102">
                  <c:v>31837</c:v>
                </c:pt>
                <c:pt idx="103">
                  <c:v>31868</c:v>
                </c:pt>
                <c:pt idx="104">
                  <c:v>31898</c:v>
                </c:pt>
                <c:pt idx="105">
                  <c:v>31929</c:v>
                </c:pt>
                <c:pt idx="106">
                  <c:v>31959</c:v>
                </c:pt>
                <c:pt idx="107">
                  <c:v>31990</c:v>
                </c:pt>
                <c:pt idx="108">
                  <c:v>32021</c:v>
                </c:pt>
                <c:pt idx="109">
                  <c:v>32051</c:v>
                </c:pt>
                <c:pt idx="110">
                  <c:v>32082</c:v>
                </c:pt>
                <c:pt idx="111">
                  <c:v>32112</c:v>
                </c:pt>
                <c:pt idx="112">
                  <c:v>32143</c:v>
                </c:pt>
                <c:pt idx="113">
                  <c:v>32174</c:v>
                </c:pt>
                <c:pt idx="114">
                  <c:v>32203</c:v>
                </c:pt>
                <c:pt idx="115">
                  <c:v>32234</c:v>
                </c:pt>
                <c:pt idx="116">
                  <c:v>32264</c:v>
                </c:pt>
                <c:pt idx="117">
                  <c:v>32295</c:v>
                </c:pt>
                <c:pt idx="118">
                  <c:v>32325</c:v>
                </c:pt>
                <c:pt idx="119">
                  <c:v>32356</c:v>
                </c:pt>
                <c:pt idx="120">
                  <c:v>32387</c:v>
                </c:pt>
                <c:pt idx="121">
                  <c:v>32417</c:v>
                </c:pt>
                <c:pt idx="122">
                  <c:v>32448</c:v>
                </c:pt>
                <c:pt idx="123">
                  <c:v>32478</c:v>
                </c:pt>
                <c:pt idx="124">
                  <c:v>32509</c:v>
                </c:pt>
                <c:pt idx="125">
                  <c:v>32540</c:v>
                </c:pt>
                <c:pt idx="126">
                  <c:v>32568</c:v>
                </c:pt>
                <c:pt idx="127">
                  <c:v>32599</c:v>
                </c:pt>
                <c:pt idx="128">
                  <c:v>32629</c:v>
                </c:pt>
                <c:pt idx="129">
                  <c:v>32660</c:v>
                </c:pt>
              </c:numCache>
            </c:numRef>
          </c:cat>
          <c:val>
            <c:numRef>
              <c:f>Sayfa1!$C$1:$C$130</c:f>
              <c:numCache>
                <c:formatCode>General</c:formatCode>
                <c:ptCount val="130"/>
                <c:pt idx="0">
                  <c:v>332.36</c:v>
                </c:pt>
                <c:pt idx="1">
                  <c:v>332.45</c:v>
                </c:pt>
                <c:pt idx="2">
                  <c:v>333.76</c:v>
                </c:pt>
                <c:pt idx="3">
                  <c:v>334.91</c:v>
                </c:pt>
                <c:pt idx="4">
                  <c:v>336.14</c:v>
                </c:pt>
                <c:pt idx="5">
                  <c:v>336.69</c:v>
                </c:pt>
                <c:pt idx="6">
                  <c:v>338.27</c:v>
                </c:pt>
                <c:pt idx="7">
                  <c:v>338.82</c:v>
                </c:pt>
                <c:pt idx="8">
                  <c:v>339.24</c:v>
                </c:pt>
                <c:pt idx="9">
                  <c:v>339.26</c:v>
                </c:pt>
                <c:pt idx="10">
                  <c:v>337.54</c:v>
                </c:pt>
                <c:pt idx="11">
                  <c:v>335.72</c:v>
                </c:pt>
                <c:pt idx="12">
                  <c:v>333.97</c:v>
                </c:pt>
                <c:pt idx="13">
                  <c:v>334.24</c:v>
                </c:pt>
                <c:pt idx="14">
                  <c:v>335.32</c:v>
                </c:pt>
                <c:pt idx="15">
                  <c:v>336.81</c:v>
                </c:pt>
                <c:pt idx="16">
                  <c:v>337.9</c:v>
                </c:pt>
                <c:pt idx="17">
                  <c:v>338.34</c:v>
                </c:pt>
                <c:pt idx="18">
                  <c:v>340.07</c:v>
                </c:pt>
                <c:pt idx="19">
                  <c:v>340.93</c:v>
                </c:pt>
                <c:pt idx="20">
                  <c:v>341.45</c:v>
                </c:pt>
                <c:pt idx="21">
                  <c:v>341.36</c:v>
                </c:pt>
                <c:pt idx="22">
                  <c:v>339.45</c:v>
                </c:pt>
                <c:pt idx="23">
                  <c:v>337.67</c:v>
                </c:pt>
                <c:pt idx="24">
                  <c:v>336.25</c:v>
                </c:pt>
                <c:pt idx="25">
                  <c:v>336.14</c:v>
                </c:pt>
                <c:pt idx="26">
                  <c:v>337.3</c:v>
                </c:pt>
                <c:pt idx="27">
                  <c:v>338.29</c:v>
                </c:pt>
                <c:pt idx="28">
                  <c:v>339.29</c:v>
                </c:pt>
                <c:pt idx="29">
                  <c:v>340.55</c:v>
                </c:pt>
                <c:pt idx="30">
                  <c:v>341.63</c:v>
                </c:pt>
                <c:pt idx="31">
                  <c:v>342.6</c:v>
                </c:pt>
                <c:pt idx="32">
                  <c:v>343.04</c:v>
                </c:pt>
                <c:pt idx="33">
                  <c:v>342.54</c:v>
                </c:pt>
                <c:pt idx="34">
                  <c:v>340.82</c:v>
                </c:pt>
                <c:pt idx="35">
                  <c:v>338.48</c:v>
                </c:pt>
                <c:pt idx="36">
                  <c:v>336.95</c:v>
                </c:pt>
                <c:pt idx="37">
                  <c:v>337.05</c:v>
                </c:pt>
                <c:pt idx="38">
                  <c:v>338.58</c:v>
                </c:pt>
                <c:pt idx="39">
                  <c:v>339.91</c:v>
                </c:pt>
                <c:pt idx="40">
                  <c:v>340.93</c:v>
                </c:pt>
                <c:pt idx="41">
                  <c:v>341.76</c:v>
                </c:pt>
                <c:pt idx="42">
                  <c:v>342.78</c:v>
                </c:pt>
                <c:pt idx="43">
                  <c:v>343.96</c:v>
                </c:pt>
                <c:pt idx="44">
                  <c:v>344.77</c:v>
                </c:pt>
                <c:pt idx="45">
                  <c:v>343.88</c:v>
                </c:pt>
                <c:pt idx="46">
                  <c:v>342.42</c:v>
                </c:pt>
                <c:pt idx="47">
                  <c:v>340.24</c:v>
                </c:pt>
                <c:pt idx="48">
                  <c:v>338.37</c:v>
                </c:pt>
                <c:pt idx="49">
                  <c:v>338.41</c:v>
                </c:pt>
                <c:pt idx="50">
                  <c:v>339.44</c:v>
                </c:pt>
                <c:pt idx="51">
                  <c:v>340.78</c:v>
                </c:pt>
                <c:pt idx="52">
                  <c:v>341.57</c:v>
                </c:pt>
                <c:pt idx="53">
                  <c:v>342.78</c:v>
                </c:pt>
                <c:pt idx="54">
                  <c:v>343.37</c:v>
                </c:pt>
                <c:pt idx="55">
                  <c:v>345.4</c:v>
                </c:pt>
                <c:pt idx="56">
                  <c:v>346.14</c:v>
                </c:pt>
                <c:pt idx="57">
                  <c:v>345.76</c:v>
                </c:pt>
                <c:pt idx="58">
                  <c:v>344.32</c:v>
                </c:pt>
                <c:pt idx="59">
                  <c:v>342.51</c:v>
                </c:pt>
                <c:pt idx="60">
                  <c:v>340.46</c:v>
                </c:pt>
                <c:pt idx="61">
                  <c:v>340.53</c:v>
                </c:pt>
                <c:pt idx="62">
                  <c:v>341.79</c:v>
                </c:pt>
                <c:pt idx="63">
                  <c:v>343.2</c:v>
                </c:pt>
                <c:pt idx="64">
                  <c:v>344.21</c:v>
                </c:pt>
                <c:pt idx="65">
                  <c:v>344.92</c:v>
                </c:pt>
                <c:pt idx="66">
                  <c:v>345.68</c:v>
                </c:pt>
                <c:pt idx="67">
                  <c:v>347.37</c:v>
                </c:pt>
                <c:pt idx="68">
                  <c:v>347.77</c:v>
                </c:pt>
                <c:pt idx="69">
                  <c:v>347.16</c:v>
                </c:pt>
                <c:pt idx="70">
                  <c:v>345.79</c:v>
                </c:pt>
                <c:pt idx="71">
                  <c:v>343.74</c:v>
                </c:pt>
                <c:pt idx="72">
                  <c:v>341.59</c:v>
                </c:pt>
                <c:pt idx="73">
                  <c:v>341.86</c:v>
                </c:pt>
                <c:pt idx="74">
                  <c:v>343.31</c:v>
                </c:pt>
                <c:pt idx="75">
                  <c:v>345</c:v>
                </c:pt>
                <c:pt idx="76">
                  <c:v>345.48</c:v>
                </c:pt>
                <c:pt idx="77">
                  <c:v>346.41</c:v>
                </c:pt>
                <c:pt idx="78">
                  <c:v>347.91</c:v>
                </c:pt>
                <c:pt idx="79">
                  <c:v>348.66</c:v>
                </c:pt>
                <c:pt idx="80">
                  <c:v>349.28</c:v>
                </c:pt>
                <c:pt idx="81">
                  <c:v>348.65</c:v>
                </c:pt>
                <c:pt idx="82">
                  <c:v>346.9</c:v>
                </c:pt>
                <c:pt idx="83">
                  <c:v>345.26</c:v>
                </c:pt>
                <c:pt idx="84">
                  <c:v>343.47</c:v>
                </c:pt>
                <c:pt idx="85">
                  <c:v>343.35</c:v>
                </c:pt>
                <c:pt idx="86">
                  <c:v>344.73</c:v>
                </c:pt>
                <c:pt idx="87">
                  <c:v>346.12</c:v>
                </c:pt>
                <c:pt idx="88">
                  <c:v>346.78</c:v>
                </c:pt>
                <c:pt idx="89">
                  <c:v>347.48</c:v>
                </c:pt>
                <c:pt idx="90">
                  <c:v>348.25</c:v>
                </c:pt>
                <c:pt idx="91">
                  <c:v>349.86</c:v>
                </c:pt>
                <c:pt idx="92">
                  <c:v>350.52</c:v>
                </c:pt>
                <c:pt idx="93">
                  <c:v>349.98</c:v>
                </c:pt>
                <c:pt idx="94">
                  <c:v>348.25</c:v>
                </c:pt>
                <c:pt idx="95">
                  <c:v>346.17</c:v>
                </c:pt>
                <c:pt idx="96">
                  <c:v>345.48</c:v>
                </c:pt>
                <c:pt idx="97">
                  <c:v>344.82</c:v>
                </c:pt>
                <c:pt idx="98">
                  <c:v>346.22</c:v>
                </c:pt>
                <c:pt idx="99">
                  <c:v>347.48</c:v>
                </c:pt>
                <c:pt idx="100">
                  <c:v>348.73</c:v>
                </c:pt>
                <c:pt idx="101">
                  <c:v>348.92</c:v>
                </c:pt>
                <c:pt idx="102">
                  <c:v>349.81</c:v>
                </c:pt>
                <c:pt idx="103">
                  <c:v>351.4</c:v>
                </c:pt>
                <c:pt idx="104">
                  <c:v>352.15</c:v>
                </c:pt>
                <c:pt idx="105">
                  <c:v>351.58</c:v>
                </c:pt>
                <c:pt idx="106">
                  <c:v>350.21</c:v>
                </c:pt>
                <c:pt idx="107">
                  <c:v>348.2</c:v>
                </c:pt>
                <c:pt idx="108">
                  <c:v>346.66</c:v>
                </c:pt>
                <c:pt idx="109">
                  <c:v>346.72</c:v>
                </c:pt>
                <c:pt idx="110">
                  <c:v>348.08</c:v>
                </c:pt>
                <c:pt idx="111">
                  <c:v>349.28</c:v>
                </c:pt>
                <c:pt idx="112">
                  <c:v>350.51</c:v>
                </c:pt>
                <c:pt idx="113">
                  <c:v>351.7</c:v>
                </c:pt>
                <c:pt idx="114">
                  <c:v>352.5</c:v>
                </c:pt>
                <c:pt idx="115">
                  <c:v>353.67</c:v>
                </c:pt>
                <c:pt idx="116">
                  <c:v>354.35</c:v>
                </c:pt>
                <c:pt idx="117">
                  <c:v>353.88</c:v>
                </c:pt>
                <c:pt idx="118">
                  <c:v>352.8</c:v>
                </c:pt>
                <c:pt idx="119">
                  <c:v>350.49</c:v>
                </c:pt>
                <c:pt idx="120">
                  <c:v>348.97</c:v>
                </c:pt>
                <c:pt idx="121">
                  <c:v>349.37</c:v>
                </c:pt>
                <c:pt idx="122">
                  <c:v>350.42</c:v>
                </c:pt>
                <c:pt idx="123">
                  <c:v>351.62</c:v>
                </c:pt>
                <c:pt idx="124">
                  <c:v>353.07</c:v>
                </c:pt>
                <c:pt idx="125">
                  <c:v>353.43</c:v>
                </c:pt>
                <c:pt idx="126">
                  <c:v>354.08</c:v>
                </c:pt>
                <c:pt idx="127">
                  <c:v>355.72</c:v>
                </c:pt>
                <c:pt idx="128">
                  <c:v>355.95</c:v>
                </c:pt>
                <c:pt idx="129">
                  <c:v>355.44</c:v>
                </c:pt>
              </c:numCache>
            </c:numRef>
          </c:val>
          <c:smooth val="0"/>
          <c:extLst>
            <c:ext xmlns:c16="http://schemas.microsoft.com/office/drawing/2014/chart" uri="{C3380CC4-5D6E-409C-BE32-E72D297353CC}">
              <c16:uniqueId val="{00000000-DEC4-4EAE-9C2E-087AA873F129}"/>
            </c:ext>
          </c:extLst>
        </c:ser>
        <c:dLbls>
          <c:showLegendKey val="0"/>
          <c:showVal val="0"/>
          <c:showCatName val="0"/>
          <c:showSerName val="0"/>
          <c:showPercent val="0"/>
          <c:showBubbleSize val="0"/>
        </c:dLbls>
        <c:marker val="1"/>
        <c:smooth val="0"/>
        <c:axId val="674168115"/>
        <c:axId val="614114231"/>
      </c:lineChart>
      <c:dateAx>
        <c:axId val="674168115"/>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p>
            </c:rich>
          </c:tx>
          <c:overlay val="0"/>
          <c:spPr>
            <a:noFill/>
            <a:ln>
              <a:noFill/>
            </a:ln>
            <a:effectLst/>
          </c:spPr>
          <c:txPr>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mmmm\ yyyy" sourceLinked="1"/>
        <c:majorTickMark val="none"/>
        <c:minorTickMark val="none"/>
        <c:tickLblPos val="nextTo"/>
        <c:spPr>
          <a:noFill/>
          <a:ln w="6350" cap="flat" cmpd="sng" algn="ctr">
            <a:solidFill>
              <a:srgbClr val="4874CB">
                <a:alpha val="25000"/>
              </a:srgbClr>
            </a:solidFill>
            <a:round/>
          </a:ln>
          <a:effectLst/>
        </c:spPr>
        <c:txPr>
          <a:bodyPr rot="-60000000" spcFirstLastPara="0" vertOverflow="ellipsis" vert="horz" wrap="square" anchor="ctr" anchorCtr="1"/>
          <a:lstStyle/>
          <a:p>
            <a:pPr>
              <a:defRPr lang="zh-CN" sz="8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14114231"/>
        <c:crosses val="autoZero"/>
        <c:auto val="0"/>
        <c:lblOffset val="100"/>
        <c:baseTimeUnit val="months"/>
        <c:majorUnit val="3"/>
        <c:majorTimeUnit val="months"/>
      </c:dateAx>
      <c:valAx>
        <c:axId val="614114231"/>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CO₂ (ppm)</a:t>
                </a:r>
              </a:p>
            </c:rich>
          </c:tx>
          <c:overlay val="0"/>
          <c:spPr>
            <a:noFill/>
            <a:ln>
              <a:noFill/>
            </a:ln>
            <a:effectLst/>
          </c:spPr>
          <c:txPr>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74168115"/>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315c8192-6a19-4b6e-84c0-e396d95f08fb}"/>
      </c:ext>
    </c:extLst>
  </c:chart>
  <c:spPr>
    <a:solidFill>
      <a:schemeClr val="bg1"/>
    </a:solidFill>
    <a:ln w="6350" cap="flat" cmpd="sng" algn="ctr">
      <a:solidFill>
        <a:schemeClr val="tx1">
          <a:lumMod val="50000"/>
          <a:lumOff val="50000"/>
          <a:alpha val="25000"/>
        </a:schemeClr>
      </a:solidFill>
      <a:round/>
    </a:ln>
    <a:effectLst/>
  </c:spPr>
  <c:txPr>
    <a:bodyPr rot="-180000"/>
    <a:lstStyle/>
    <a:p>
      <a:pPr>
        <a:defRPr lang="zh-CN"/>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28575</xdr:colOff>
      <xdr:row>7</xdr:row>
      <xdr:rowOff>120650</xdr:rowOff>
    </xdr:from>
    <xdr:to>
      <xdr:col>16</xdr:col>
      <xdr:colOff>206375</xdr:colOff>
      <xdr:row>25</xdr:row>
      <xdr:rowOff>24765</xdr:rowOff>
    </xdr:to>
    <xdr:graphicFrame macro="">
      <xdr:nvGraphicFramePr>
        <xdr:cNvPr id="6" name="Grafik 5" descr="7b0a202020202263686172745265734964223a20223230343638363533220a7d0a">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354330</xdr:colOff>
      <xdr:row>7</xdr:row>
      <xdr:rowOff>88900</xdr:rowOff>
    </xdr:from>
    <xdr:to>
      <xdr:col>29</xdr:col>
      <xdr:colOff>31750</xdr:colOff>
      <xdr:row>25</xdr:row>
      <xdr:rowOff>22225</xdr:rowOff>
    </xdr:to>
    <xdr:graphicFrame macro="">
      <xdr:nvGraphicFramePr>
        <xdr:cNvPr id="2" name="Grafik 1" descr="7b0a202020202263686172745265734964223a20223230343638363533220a7d0a">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6"/>
  <sheetViews>
    <sheetView tabSelected="1" topLeftCell="B13" zoomScale="80" zoomScaleNormal="80" workbookViewId="0">
      <selection activeCell="L1" sqref="L1:N16"/>
    </sheetView>
  </sheetViews>
  <sheetFormatPr defaultColWidth="9.125" defaultRowHeight="15"/>
  <cols>
    <col min="3" max="3" width="12.625" customWidth="1"/>
    <col min="4" max="4" width="15.125" customWidth="1"/>
    <col min="5" max="5" width="21.625" style="1" customWidth="1"/>
    <col min="8" max="8" width="14" style="2"/>
    <col min="11" max="14" width="12.875"/>
    <col min="16" max="16" width="10.375"/>
  </cols>
  <sheetData>
    <row r="1" spans="1:18">
      <c r="A1" s="4">
        <v>1978</v>
      </c>
      <c r="B1">
        <v>9</v>
      </c>
      <c r="C1">
        <v>332.36</v>
      </c>
      <c r="D1" t="s">
        <v>0</v>
      </c>
      <c r="E1" s="1">
        <v>17</v>
      </c>
      <c r="F1" t="s">
        <v>1</v>
      </c>
      <c r="G1" t="s">
        <v>2</v>
      </c>
      <c r="H1" s="3">
        <f t="shared" ref="H1:H18" si="0">DATE(A1,B1,1)</f>
        <v>28734</v>
      </c>
    </row>
    <row r="2" spans="1:18">
      <c r="A2" s="4">
        <v>1978</v>
      </c>
      <c r="B2">
        <v>10</v>
      </c>
      <c r="C2">
        <v>332.45</v>
      </c>
      <c r="D2" t="s">
        <v>3</v>
      </c>
      <c r="E2" s="1">
        <v>21</v>
      </c>
      <c r="F2" t="s">
        <v>4</v>
      </c>
      <c r="G2" t="s">
        <v>5</v>
      </c>
      <c r="H2" s="3">
        <f t="shared" si="0"/>
        <v>28764</v>
      </c>
    </row>
    <row r="3" spans="1:18">
      <c r="A3" s="4">
        <v>1978</v>
      </c>
      <c r="B3">
        <v>11</v>
      </c>
      <c r="C3">
        <v>333.76</v>
      </c>
      <c r="D3" t="s">
        <v>6</v>
      </c>
      <c r="E3" s="1">
        <v>24</v>
      </c>
      <c r="F3" t="s">
        <v>7</v>
      </c>
      <c r="G3" t="s">
        <v>8</v>
      </c>
      <c r="H3" s="3">
        <f t="shared" si="0"/>
        <v>28795</v>
      </c>
      <c r="K3" t="s">
        <v>9</v>
      </c>
      <c r="N3" s="5" t="s">
        <v>10</v>
      </c>
      <c r="O3" s="5">
        <f>MIN(C1:C141)</f>
        <v>332.36</v>
      </c>
      <c r="P3" s="6" t="s">
        <v>11</v>
      </c>
    </row>
    <row r="4" spans="1:18">
      <c r="A4" s="4">
        <v>1978</v>
      </c>
      <c r="B4">
        <v>12</v>
      </c>
      <c r="C4">
        <v>334.91</v>
      </c>
      <c r="D4" t="s">
        <v>12</v>
      </c>
      <c r="E4" s="1">
        <v>26</v>
      </c>
      <c r="F4" t="s">
        <v>13</v>
      </c>
      <c r="G4" t="s">
        <v>14</v>
      </c>
      <c r="H4" s="3">
        <f t="shared" si="0"/>
        <v>28825</v>
      </c>
      <c r="N4" s="7" t="s">
        <v>15</v>
      </c>
      <c r="O4" s="7">
        <f>MAX(C1:C141)</f>
        <v>355.95</v>
      </c>
      <c r="P4" s="8" t="s">
        <v>16</v>
      </c>
    </row>
    <row r="5" spans="1:18" ht="14.1" customHeight="1">
      <c r="A5" s="4">
        <v>1979</v>
      </c>
      <c r="B5">
        <v>1</v>
      </c>
      <c r="C5">
        <v>336.14</v>
      </c>
      <c r="D5" t="s">
        <v>17</v>
      </c>
      <c r="E5" s="1">
        <v>27</v>
      </c>
      <c r="F5" t="s">
        <v>18</v>
      </c>
      <c r="G5" t="s">
        <v>19</v>
      </c>
      <c r="H5" s="3">
        <f t="shared" si="0"/>
        <v>28856</v>
      </c>
    </row>
    <row r="6" spans="1:18">
      <c r="A6" s="4">
        <v>1979</v>
      </c>
      <c r="B6">
        <v>2</v>
      </c>
      <c r="C6">
        <v>336.69</v>
      </c>
      <c r="D6" t="s">
        <v>20</v>
      </c>
      <c r="E6" s="1">
        <v>25</v>
      </c>
      <c r="F6" t="s">
        <v>21</v>
      </c>
      <c r="G6" t="s">
        <v>22</v>
      </c>
      <c r="H6" s="3">
        <f t="shared" si="0"/>
        <v>28887</v>
      </c>
      <c r="K6" t="s">
        <v>23</v>
      </c>
    </row>
    <row r="7" spans="1:18">
      <c r="A7" s="4">
        <v>1979</v>
      </c>
      <c r="B7">
        <v>3</v>
      </c>
      <c r="C7">
        <v>338.27</v>
      </c>
      <c r="D7" t="s">
        <v>24</v>
      </c>
      <c r="E7" s="1">
        <v>21</v>
      </c>
      <c r="F7" t="s">
        <v>25</v>
      </c>
      <c r="G7" t="s">
        <v>26</v>
      </c>
      <c r="H7" s="3">
        <f t="shared" si="0"/>
        <v>28915</v>
      </c>
      <c r="K7" t="s">
        <v>27</v>
      </c>
      <c r="R7" t="s">
        <v>28</v>
      </c>
    </row>
    <row r="8" spans="1:18">
      <c r="A8" s="4">
        <v>1979</v>
      </c>
      <c r="B8">
        <v>4</v>
      </c>
      <c r="C8">
        <v>338.82</v>
      </c>
      <c r="D8" t="s">
        <v>29</v>
      </c>
      <c r="E8" s="1">
        <v>24</v>
      </c>
      <c r="F8" t="s">
        <v>30</v>
      </c>
      <c r="G8" t="s">
        <v>26</v>
      </c>
      <c r="H8" s="3">
        <f t="shared" si="0"/>
        <v>28946</v>
      </c>
    </row>
    <row r="9" spans="1:18">
      <c r="A9" s="4">
        <v>1979</v>
      </c>
      <c r="B9">
        <v>5</v>
      </c>
      <c r="C9">
        <v>339.24</v>
      </c>
      <c r="D9" t="s">
        <v>31</v>
      </c>
      <c r="E9" s="1">
        <v>20</v>
      </c>
      <c r="F9" t="s">
        <v>32</v>
      </c>
      <c r="G9" t="s">
        <v>33</v>
      </c>
      <c r="H9" s="3">
        <f t="shared" si="0"/>
        <v>28976</v>
      </c>
    </row>
    <row r="10" spans="1:18">
      <c r="A10" s="4">
        <v>1979</v>
      </c>
      <c r="B10">
        <v>6</v>
      </c>
      <c r="C10">
        <v>339.26</v>
      </c>
      <c r="D10" t="s">
        <v>34</v>
      </c>
      <c r="E10" s="1">
        <v>19</v>
      </c>
      <c r="F10" t="s">
        <v>2</v>
      </c>
      <c r="G10" t="s">
        <v>35</v>
      </c>
      <c r="H10" s="3">
        <f t="shared" si="0"/>
        <v>29007</v>
      </c>
    </row>
    <row r="11" spans="1:18">
      <c r="A11" s="4">
        <v>1979</v>
      </c>
      <c r="B11">
        <v>7</v>
      </c>
      <c r="C11">
        <v>337.54</v>
      </c>
      <c r="D11" t="s">
        <v>36</v>
      </c>
      <c r="E11" s="1">
        <v>26</v>
      </c>
      <c r="F11" t="s">
        <v>37</v>
      </c>
      <c r="G11" t="s">
        <v>33</v>
      </c>
      <c r="H11" s="3">
        <f t="shared" si="0"/>
        <v>29037</v>
      </c>
    </row>
    <row r="12" spans="1:18">
      <c r="A12" s="4">
        <v>1979</v>
      </c>
      <c r="B12">
        <v>8</v>
      </c>
      <c r="C12">
        <v>335.72</v>
      </c>
      <c r="D12" t="s">
        <v>38</v>
      </c>
      <c r="E12" s="1">
        <v>24</v>
      </c>
      <c r="F12" t="s">
        <v>39</v>
      </c>
      <c r="G12" t="s">
        <v>40</v>
      </c>
      <c r="H12" s="3">
        <f t="shared" si="0"/>
        <v>29068</v>
      </c>
    </row>
    <row r="13" spans="1:18">
      <c r="A13" s="4">
        <v>1979</v>
      </c>
      <c r="B13">
        <v>9</v>
      </c>
      <c r="C13">
        <v>333.97</v>
      </c>
      <c r="D13" t="s">
        <v>41</v>
      </c>
      <c r="E13" s="1">
        <v>19</v>
      </c>
      <c r="F13" t="s">
        <v>42</v>
      </c>
      <c r="G13" t="s">
        <v>43</v>
      </c>
      <c r="H13" s="3">
        <f t="shared" si="0"/>
        <v>29099</v>
      </c>
    </row>
    <row r="14" spans="1:18">
      <c r="A14" s="4">
        <v>1979</v>
      </c>
      <c r="B14">
        <v>10</v>
      </c>
      <c r="C14">
        <v>334.24</v>
      </c>
      <c r="D14" t="s">
        <v>44</v>
      </c>
      <c r="E14" s="1">
        <v>25</v>
      </c>
      <c r="F14" t="s">
        <v>45</v>
      </c>
      <c r="G14" t="s">
        <v>46</v>
      </c>
      <c r="H14" s="3">
        <f t="shared" si="0"/>
        <v>29129</v>
      </c>
    </row>
    <row r="15" spans="1:18">
      <c r="A15" s="4">
        <v>1979</v>
      </c>
      <c r="B15">
        <v>11</v>
      </c>
      <c r="C15">
        <v>335.32</v>
      </c>
      <c r="D15" t="s">
        <v>47</v>
      </c>
      <c r="E15" s="1">
        <v>27</v>
      </c>
      <c r="F15" t="s">
        <v>21</v>
      </c>
      <c r="G15" t="s">
        <v>22</v>
      </c>
      <c r="H15" s="3">
        <f t="shared" si="0"/>
        <v>29160</v>
      </c>
    </row>
    <row r="16" spans="1:18">
      <c r="A16" s="4">
        <v>1979</v>
      </c>
      <c r="B16">
        <v>12</v>
      </c>
      <c r="C16">
        <v>336.81</v>
      </c>
      <c r="D16" t="s">
        <v>48</v>
      </c>
      <c r="E16" s="1">
        <v>22</v>
      </c>
      <c r="F16" t="s">
        <v>40</v>
      </c>
      <c r="G16" t="s">
        <v>49</v>
      </c>
      <c r="H16" s="3">
        <f t="shared" si="0"/>
        <v>29190</v>
      </c>
    </row>
    <row r="17" spans="1:11">
      <c r="A17" s="4">
        <v>1980</v>
      </c>
      <c r="B17">
        <v>1</v>
      </c>
      <c r="C17">
        <v>337.9</v>
      </c>
      <c r="D17" t="s">
        <v>50</v>
      </c>
      <c r="E17" s="1">
        <v>29</v>
      </c>
      <c r="F17" t="s">
        <v>51</v>
      </c>
      <c r="G17" t="s">
        <v>19</v>
      </c>
      <c r="H17" s="3">
        <f t="shared" si="0"/>
        <v>29221</v>
      </c>
    </row>
    <row r="18" spans="1:11">
      <c r="A18" s="4">
        <v>1980</v>
      </c>
      <c r="B18">
        <v>2</v>
      </c>
      <c r="C18">
        <v>338.34</v>
      </c>
      <c r="D18" t="s">
        <v>52</v>
      </c>
      <c r="E18" s="1">
        <v>26</v>
      </c>
      <c r="F18" t="s">
        <v>53</v>
      </c>
      <c r="G18" t="s">
        <v>54</v>
      </c>
      <c r="H18" s="3">
        <f t="shared" si="0"/>
        <v>29252</v>
      </c>
    </row>
    <row r="19" spans="1:11">
      <c r="A19" s="4">
        <v>1980</v>
      </c>
      <c r="B19">
        <v>3</v>
      </c>
      <c r="C19">
        <v>340.07</v>
      </c>
      <c r="D19" t="s">
        <v>55</v>
      </c>
      <c r="E19" s="1">
        <v>23</v>
      </c>
      <c r="F19" t="s">
        <v>56</v>
      </c>
      <c r="G19" t="s">
        <v>33</v>
      </c>
      <c r="H19" s="3">
        <f t="shared" ref="H19:H50" si="1">DATE(A19,B19,1)</f>
        <v>29281</v>
      </c>
    </row>
    <row r="20" spans="1:11">
      <c r="A20" s="4">
        <v>1980</v>
      </c>
      <c r="B20">
        <v>4</v>
      </c>
      <c r="C20">
        <v>340.93</v>
      </c>
      <c r="D20" t="s">
        <v>57</v>
      </c>
      <c r="E20" s="1">
        <v>24</v>
      </c>
      <c r="F20" t="s">
        <v>43</v>
      </c>
      <c r="G20" t="s">
        <v>22</v>
      </c>
      <c r="H20" s="3">
        <f t="shared" si="1"/>
        <v>29312</v>
      </c>
    </row>
    <row r="21" spans="1:11">
      <c r="A21" s="4">
        <v>1980</v>
      </c>
      <c r="B21">
        <v>5</v>
      </c>
      <c r="C21">
        <v>341.45</v>
      </c>
      <c r="D21" t="s">
        <v>58</v>
      </c>
      <c r="E21" s="1">
        <v>24</v>
      </c>
      <c r="F21" t="s">
        <v>56</v>
      </c>
      <c r="G21" t="s">
        <v>59</v>
      </c>
      <c r="H21" s="3">
        <f t="shared" si="1"/>
        <v>29342</v>
      </c>
    </row>
    <row r="22" spans="1:11">
      <c r="A22" s="4">
        <v>1980</v>
      </c>
      <c r="B22">
        <v>6</v>
      </c>
      <c r="C22">
        <v>341.36</v>
      </c>
      <c r="D22" t="s">
        <v>60</v>
      </c>
      <c r="E22" s="1">
        <v>20</v>
      </c>
      <c r="F22" t="s">
        <v>61</v>
      </c>
      <c r="G22" t="s">
        <v>62</v>
      </c>
      <c r="H22" s="3">
        <f t="shared" si="1"/>
        <v>29373</v>
      </c>
    </row>
    <row r="23" spans="1:11">
      <c r="A23" s="4">
        <v>1980</v>
      </c>
      <c r="B23">
        <v>7</v>
      </c>
      <c r="C23">
        <v>339.45</v>
      </c>
      <c r="D23" t="s">
        <v>63</v>
      </c>
      <c r="E23" s="1">
        <v>26</v>
      </c>
      <c r="F23" t="s">
        <v>39</v>
      </c>
      <c r="G23" t="s">
        <v>33</v>
      </c>
      <c r="H23" s="3">
        <f t="shared" si="1"/>
        <v>29403</v>
      </c>
    </row>
    <row r="24" spans="1:11">
      <c r="A24" s="4">
        <v>1980</v>
      </c>
      <c r="B24">
        <v>8</v>
      </c>
      <c r="C24">
        <v>337.67</v>
      </c>
      <c r="D24" t="s">
        <v>64</v>
      </c>
      <c r="E24" s="1">
        <v>16</v>
      </c>
      <c r="F24" s="9" t="s">
        <v>42</v>
      </c>
      <c r="G24" t="s">
        <v>32</v>
      </c>
      <c r="H24" s="3">
        <f t="shared" si="1"/>
        <v>29434</v>
      </c>
    </row>
    <row r="25" spans="1:11">
      <c r="A25" s="4">
        <v>1980</v>
      </c>
      <c r="B25">
        <v>9</v>
      </c>
      <c r="C25">
        <v>336.25</v>
      </c>
      <c r="D25" t="s">
        <v>65</v>
      </c>
      <c r="E25" s="1">
        <v>15</v>
      </c>
      <c r="F25" t="s">
        <v>66</v>
      </c>
      <c r="G25" t="s">
        <v>4</v>
      </c>
      <c r="H25" s="3">
        <f t="shared" si="1"/>
        <v>29465</v>
      </c>
    </row>
    <row r="26" spans="1:11">
      <c r="A26" s="4">
        <v>1980</v>
      </c>
      <c r="B26">
        <v>10</v>
      </c>
      <c r="C26">
        <v>336.14</v>
      </c>
      <c r="D26" t="s">
        <v>67</v>
      </c>
      <c r="E26" s="1">
        <v>26</v>
      </c>
      <c r="F26" t="s">
        <v>26</v>
      </c>
      <c r="G26" t="s">
        <v>8</v>
      </c>
      <c r="H26" s="3">
        <f t="shared" si="1"/>
        <v>29495</v>
      </c>
    </row>
    <row r="27" spans="1:11">
      <c r="A27" s="4">
        <v>1980</v>
      </c>
      <c r="B27">
        <v>11</v>
      </c>
      <c r="C27">
        <v>337.3</v>
      </c>
      <c r="D27" t="s">
        <v>68</v>
      </c>
      <c r="E27" s="1">
        <v>27</v>
      </c>
      <c r="F27" t="s">
        <v>26</v>
      </c>
      <c r="G27" t="s">
        <v>8</v>
      </c>
      <c r="H27" s="3">
        <f t="shared" si="1"/>
        <v>29526</v>
      </c>
      <c r="K27" t="s">
        <v>69</v>
      </c>
    </row>
    <row r="28" spans="1:11">
      <c r="A28" s="4">
        <v>1980</v>
      </c>
      <c r="B28">
        <v>12</v>
      </c>
      <c r="C28">
        <v>338.29</v>
      </c>
      <c r="D28" t="s">
        <v>70</v>
      </c>
      <c r="E28" s="1">
        <v>24</v>
      </c>
      <c r="F28" t="s">
        <v>7</v>
      </c>
      <c r="G28" t="s">
        <v>8</v>
      </c>
      <c r="H28" s="3">
        <f t="shared" si="1"/>
        <v>29556</v>
      </c>
      <c r="K28" t="s">
        <v>71</v>
      </c>
    </row>
    <row r="29" spans="1:11">
      <c r="A29" s="4">
        <v>1981</v>
      </c>
      <c r="B29">
        <v>1</v>
      </c>
      <c r="C29">
        <v>339.29</v>
      </c>
      <c r="D29" t="s">
        <v>72</v>
      </c>
      <c r="E29" s="1">
        <v>28</v>
      </c>
      <c r="F29" t="s">
        <v>61</v>
      </c>
      <c r="G29" t="s">
        <v>5</v>
      </c>
      <c r="H29" s="3">
        <f t="shared" si="1"/>
        <v>29587</v>
      </c>
    </row>
    <row r="30" spans="1:11">
      <c r="A30" s="4">
        <v>1981</v>
      </c>
      <c r="B30">
        <v>2</v>
      </c>
      <c r="C30">
        <v>340.55</v>
      </c>
      <c r="D30" t="s">
        <v>73</v>
      </c>
      <c r="E30" s="1">
        <v>25</v>
      </c>
      <c r="F30" t="s">
        <v>42</v>
      </c>
      <c r="G30" t="s">
        <v>7</v>
      </c>
      <c r="H30" s="3">
        <f t="shared" si="1"/>
        <v>29618</v>
      </c>
      <c r="K30" t="s">
        <v>74</v>
      </c>
    </row>
    <row r="31" spans="1:11">
      <c r="A31" s="4">
        <v>1981</v>
      </c>
      <c r="B31">
        <v>3</v>
      </c>
      <c r="C31">
        <v>341.63</v>
      </c>
      <c r="D31" t="s">
        <v>75</v>
      </c>
      <c r="E31" s="1">
        <v>25</v>
      </c>
      <c r="F31" t="s">
        <v>76</v>
      </c>
      <c r="G31" t="s">
        <v>77</v>
      </c>
      <c r="H31" s="3">
        <f t="shared" si="1"/>
        <v>29646</v>
      </c>
      <c r="K31" s="13" t="s">
        <v>78</v>
      </c>
    </row>
    <row r="32" spans="1:11">
      <c r="A32" s="4">
        <v>1981</v>
      </c>
      <c r="B32">
        <v>4</v>
      </c>
      <c r="C32">
        <v>342.6</v>
      </c>
      <c r="D32" t="s">
        <v>73</v>
      </c>
      <c r="E32" s="1">
        <v>26</v>
      </c>
      <c r="F32" t="s">
        <v>79</v>
      </c>
      <c r="G32" t="s">
        <v>62</v>
      </c>
      <c r="H32" s="3">
        <f t="shared" si="1"/>
        <v>29677</v>
      </c>
      <c r="K32" t="s">
        <v>80</v>
      </c>
    </row>
    <row r="33" spans="1:8">
      <c r="A33" s="4">
        <v>1981</v>
      </c>
      <c r="B33">
        <v>5</v>
      </c>
      <c r="C33">
        <v>343.04</v>
      </c>
      <c r="D33" t="s">
        <v>81</v>
      </c>
      <c r="E33" s="1">
        <v>30</v>
      </c>
      <c r="F33" t="s">
        <v>77</v>
      </c>
      <c r="G33" t="s">
        <v>82</v>
      </c>
      <c r="H33" s="3">
        <f t="shared" si="1"/>
        <v>29707</v>
      </c>
    </row>
    <row r="34" spans="1:8">
      <c r="A34" s="4">
        <v>1981</v>
      </c>
      <c r="B34">
        <v>6</v>
      </c>
      <c r="C34">
        <v>342.54</v>
      </c>
      <c r="D34" t="s">
        <v>83</v>
      </c>
      <c r="E34" s="1">
        <v>25</v>
      </c>
      <c r="F34" t="s">
        <v>43</v>
      </c>
      <c r="G34" t="s">
        <v>22</v>
      </c>
      <c r="H34" s="3">
        <f t="shared" si="1"/>
        <v>29738</v>
      </c>
    </row>
    <row r="35" spans="1:8">
      <c r="A35" s="4">
        <v>1981</v>
      </c>
      <c r="B35">
        <v>7</v>
      </c>
      <c r="C35">
        <v>340.82</v>
      </c>
      <c r="D35" t="s">
        <v>84</v>
      </c>
      <c r="E35" s="1">
        <v>24</v>
      </c>
      <c r="F35" t="s">
        <v>79</v>
      </c>
      <c r="G35" t="s">
        <v>54</v>
      </c>
      <c r="H35" s="3">
        <f t="shared" si="1"/>
        <v>29768</v>
      </c>
    </row>
    <row r="36" spans="1:8">
      <c r="A36" s="4">
        <v>1981</v>
      </c>
      <c r="B36">
        <v>8</v>
      </c>
      <c r="C36">
        <v>338.48</v>
      </c>
      <c r="D36" t="s">
        <v>85</v>
      </c>
      <c r="E36" s="1">
        <v>25</v>
      </c>
      <c r="F36" t="s">
        <v>76</v>
      </c>
      <c r="G36" t="s">
        <v>54</v>
      </c>
      <c r="H36" s="3">
        <f t="shared" si="1"/>
        <v>29799</v>
      </c>
    </row>
    <row r="37" spans="1:8">
      <c r="A37" s="4">
        <v>1981</v>
      </c>
      <c r="B37">
        <v>9</v>
      </c>
      <c r="C37">
        <v>336.95</v>
      </c>
      <c r="D37" t="s">
        <v>86</v>
      </c>
      <c r="E37" s="1">
        <v>27</v>
      </c>
      <c r="F37" t="s">
        <v>18</v>
      </c>
      <c r="G37" t="s">
        <v>19</v>
      </c>
      <c r="H37" s="3">
        <f t="shared" si="1"/>
        <v>29830</v>
      </c>
    </row>
    <row r="38" spans="1:8">
      <c r="A38" s="4">
        <v>1981</v>
      </c>
      <c r="B38">
        <v>10</v>
      </c>
      <c r="C38">
        <v>337.05</v>
      </c>
      <c r="D38" t="s">
        <v>87</v>
      </c>
      <c r="E38" s="1">
        <v>25</v>
      </c>
      <c r="F38" t="s">
        <v>61</v>
      </c>
      <c r="G38" t="s">
        <v>35</v>
      </c>
      <c r="H38" s="3">
        <f t="shared" si="1"/>
        <v>29860</v>
      </c>
    </row>
    <row r="39" spans="1:8">
      <c r="A39" s="4">
        <v>1981</v>
      </c>
      <c r="B39">
        <v>11</v>
      </c>
      <c r="C39">
        <v>338.58</v>
      </c>
      <c r="D39" t="s">
        <v>88</v>
      </c>
      <c r="E39" s="1">
        <v>26</v>
      </c>
      <c r="F39" t="s">
        <v>89</v>
      </c>
      <c r="G39" t="s">
        <v>14</v>
      </c>
      <c r="H39" s="3">
        <f t="shared" si="1"/>
        <v>29891</v>
      </c>
    </row>
    <row r="40" spans="1:8">
      <c r="A40" s="4">
        <v>1981</v>
      </c>
      <c r="B40">
        <v>12</v>
      </c>
      <c r="C40">
        <v>339.91</v>
      </c>
      <c r="D40" t="s">
        <v>90</v>
      </c>
      <c r="E40" s="1">
        <v>20</v>
      </c>
      <c r="F40" t="s">
        <v>91</v>
      </c>
      <c r="G40" t="s">
        <v>14</v>
      </c>
      <c r="H40" s="3">
        <f t="shared" si="1"/>
        <v>29921</v>
      </c>
    </row>
    <row r="41" spans="1:8">
      <c r="A41" s="4">
        <v>1982</v>
      </c>
      <c r="B41">
        <v>1</v>
      </c>
      <c r="C41">
        <v>340.93</v>
      </c>
      <c r="D41" t="s">
        <v>92</v>
      </c>
      <c r="E41" s="1">
        <v>28</v>
      </c>
      <c r="F41" t="s">
        <v>21</v>
      </c>
      <c r="G41" t="s">
        <v>22</v>
      </c>
      <c r="H41" s="3">
        <f t="shared" si="1"/>
        <v>29952</v>
      </c>
    </row>
    <row r="42" spans="1:8">
      <c r="A42" s="4">
        <v>1982</v>
      </c>
      <c r="B42">
        <v>2</v>
      </c>
      <c r="C42">
        <v>341.76</v>
      </c>
      <c r="D42" t="s">
        <v>93</v>
      </c>
      <c r="E42" s="1">
        <v>24</v>
      </c>
      <c r="F42" t="s">
        <v>53</v>
      </c>
      <c r="G42" t="s">
        <v>77</v>
      </c>
      <c r="H42" s="3">
        <f t="shared" si="1"/>
        <v>29983</v>
      </c>
    </row>
    <row r="43" spans="1:8">
      <c r="A43" s="4">
        <v>1982</v>
      </c>
      <c r="B43">
        <v>3</v>
      </c>
      <c r="C43">
        <v>342.78</v>
      </c>
      <c r="D43" t="s">
        <v>94</v>
      </c>
      <c r="E43" s="1">
        <v>17</v>
      </c>
      <c r="F43" t="s">
        <v>95</v>
      </c>
      <c r="G43" t="s">
        <v>77</v>
      </c>
      <c r="H43" s="3">
        <f t="shared" si="1"/>
        <v>30011</v>
      </c>
    </row>
    <row r="44" spans="1:8">
      <c r="A44" s="4">
        <v>1982</v>
      </c>
      <c r="B44">
        <v>4</v>
      </c>
      <c r="C44">
        <v>343.96</v>
      </c>
      <c r="D44" t="s">
        <v>96</v>
      </c>
      <c r="E44" s="1">
        <v>7</v>
      </c>
      <c r="F44" t="s">
        <v>45</v>
      </c>
      <c r="G44" t="s">
        <v>89</v>
      </c>
      <c r="H44" s="3">
        <f t="shared" si="1"/>
        <v>30042</v>
      </c>
    </row>
    <row r="45" spans="1:8">
      <c r="A45" s="4">
        <v>1982</v>
      </c>
      <c r="B45">
        <v>5</v>
      </c>
      <c r="C45">
        <v>344.77</v>
      </c>
      <c r="D45" t="s">
        <v>97</v>
      </c>
      <c r="E45" s="1">
        <v>27</v>
      </c>
      <c r="F45" t="s">
        <v>98</v>
      </c>
      <c r="G45" t="s">
        <v>5</v>
      </c>
      <c r="H45" s="3">
        <f t="shared" si="1"/>
        <v>30072</v>
      </c>
    </row>
    <row r="46" spans="1:8">
      <c r="A46" s="4">
        <v>1982</v>
      </c>
      <c r="B46">
        <v>6</v>
      </c>
      <c r="C46">
        <v>343.88</v>
      </c>
      <c r="D46" t="s">
        <v>99</v>
      </c>
      <c r="E46" s="1">
        <v>27</v>
      </c>
      <c r="F46" t="s">
        <v>98</v>
      </c>
      <c r="G46" t="s">
        <v>5</v>
      </c>
      <c r="H46" s="3">
        <f t="shared" si="1"/>
        <v>30103</v>
      </c>
    </row>
    <row r="47" spans="1:8">
      <c r="A47" s="4">
        <v>1982</v>
      </c>
      <c r="B47">
        <v>7</v>
      </c>
      <c r="C47">
        <v>342.42</v>
      </c>
      <c r="D47" t="s">
        <v>100</v>
      </c>
      <c r="E47" s="1">
        <v>28</v>
      </c>
      <c r="F47" t="s">
        <v>2</v>
      </c>
      <c r="G47" t="s">
        <v>101</v>
      </c>
      <c r="H47" s="3">
        <f t="shared" si="1"/>
        <v>30133</v>
      </c>
    </row>
    <row r="48" spans="1:8">
      <c r="A48" s="4">
        <v>1982</v>
      </c>
      <c r="B48">
        <v>8</v>
      </c>
      <c r="C48">
        <v>340.24</v>
      </c>
      <c r="D48" t="s">
        <v>102</v>
      </c>
      <c r="E48" s="1">
        <v>25</v>
      </c>
      <c r="F48" t="s">
        <v>103</v>
      </c>
      <c r="G48" t="s">
        <v>40</v>
      </c>
      <c r="H48" s="3">
        <f t="shared" si="1"/>
        <v>30164</v>
      </c>
    </row>
    <row r="49" spans="1:8">
      <c r="A49" s="4">
        <v>1982</v>
      </c>
      <c r="B49">
        <v>9</v>
      </c>
      <c r="C49">
        <v>338.37</v>
      </c>
      <c r="D49" t="s">
        <v>104</v>
      </c>
      <c r="E49" s="1">
        <v>21</v>
      </c>
      <c r="F49" t="s">
        <v>37</v>
      </c>
      <c r="G49" t="s">
        <v>7</v>
      </c>
      <c r="H49" s="3">
        <f t="shared" si="1"/>
        <v>30195</v>
      </c>
    </row>
    <row r="50" spans="1:8">
      <c r="A50" s="4">
        <v>1982</v>
      </c>
      <c r="B50">
        <v>10</v>
      </c>
      <c r="C50">
        <v>338.41</v>
      </c>
      <c r="D50" t="s">
        <v>105</v>
      </c>
      <c r="E50" s="1">
        <v>26</v>
      </c>
      <c r="F50" t="s">
        <v>32</v>
      </c>
      <c r="G50" t="s">
        <v>77</v>
      </c>
      <c r="H50" s="3">
        <f t="shared" si="1"/>
        <v>30225</v>
      </c>
    </row>
    <row r="51" spans="1:8">
      <c r="A51" s="4">
        <v>1982</v>
      </c>
      <c r="B51">
        <v>11</v>
      </c>
      <c r="C51">
        <v>339.44</v>
      </c>
      <c r="D51" t="s">
        <v>106</v>
      </c>
      <c r="E51" s="1">
        <v>24</v>
      </c>
      <c r="F51" t="s">
        <v>61</v>
      </c>
      <c r="G51" t="s">
        <v>35</v>
      </c>
      <c r="H51" s="3">
        <f t="shared" ref="H51:H82" si="2">DATE(A51,B51,1)</f>
        <v>30256</v>
      </c>
    </row>
    <row r="52" spans="1:8">
      <c r="A52" s="4">
        <v>1982</v>
      </c>
      <c r="B52">
        <v>12</v>
      </c>
      <c r="C52">
        <v>340.78</v>
      </c>
      <c r="D52" t="s">
        <v>107</v>
      </c>
      <c r="E52" s="1">
        <v>26</v>
      </c>
      <c r="F52" t="s">
        <v>21</v>
      </c>
      <c r="G52" t="s">
        <v>22</v>
      </c>
      <c r="H52" s="3">
        <f t="shared" si="2"/>
        <v>30286</v>
      </c>
    </row>
    <row r="53" spans="1:8">
      <c r="A53" s="4">
        <v>1983</v>
      </c>
      <c r="B53">
        <v>1</v>
      </c>
      <c r="C53">
        <v>341.57</v>
      </c>
      <c r="D53" t="s">
        <v>108</v>
      </c>
      <c r="E53" s="1">
        <v>28</v>
      </c>
      <c r="F53" t="s">
        <v>109</v>
      </c>
      <c r="G53" t="s">
        <v>62</v>
      </c>
      <c r="H53" s="3">
        <f t="shared" si="2"/>
        <v>30317</v>
      </c>
    </row>
    <row r="54" spans="1:8">
      <c r="A54" s="4">
        <v>1983</v>
      </c>
      <c r="B54">
        <v>2</v>
      </c>
      <c r="C54">
        <v>342.78</v>
      </c>
      <c r="D54" t="s">
        <v>110</v>
      </c>
      <c r="E54" s="1">
        <v>24</v>
      </c>
      <c r="F54" t="s">
        <v>98</v>
      </c>
      <c r="G54" t="s">
        <v>35</v>
      </c>
      <c r="H54" s="3">
        <f t="shared" si="2"/>
        <v>30348</v>
      </c>
    </row>
    <row r="55" spans="1:8">
      <c r="A55" s="4">
        <v>1983</v>
      </c>
      <c r="B55">
        <v>3</v>
      </c>
      <c r="C55">
        <v>343.37</v>
      </c>
      <c r="D55" t="s">
        <v>111</v>
      </c>
      <c r="E55" s="1">
        <v>27</v>
      </c>
      <c r="F55" t="s">
        <v>112</v>
      </c>
      <c r="G55" t="s">
        <v>113</v>
      </c>
      <c r="H55" s="3">
        <f t="shared" si="2"/>
        <v>30376</v>
      </c>
    </row>
    <row r="56" spans="1:8">
      <c r="A56" s="4">
        <v>1983</v>
      </c>
      <c r="B56">
        <v>4</v>
      </c>
      <c r="C56">
        <v>345.4</v>
      </c>
      <c r="D56" t="s">
        <v>114</v>
      </c>
      <c r="E56" s="1">
        <v>23</v>
      </c>
      <c r="F56" t="s">
        <v>43</v>
      </c>
      <c r="G56" t="s">
        <v>14</v>
      </c>
      <c r="H56" s="3">
        <f t="shared" si="2"/>
        <v>30407</v>
      </c>
    </row>
    <row r="57" spans="1:8">
      <c r="A57" s="4">
        <v>1983</v>
      </c>
      <c r="B57">
        <v>5</v>
      </c>
      <c r="C57">
        <v>346.14</v>
      </c>
      <c r="D57" t="s">
        <v>115</v>
      </c>
      <c r="E57" s="1">
        <v>28</v>
      </c>
      <c r="F57" t="s">
        <v>116</v>
      </c>
      <c r="G57" t="s">
        <v>77</v>
      </c>
      <c r="H57" s="3">
        <f t="shared" si="2"/>
        <v>30437</v>
      </c>
    </row>
    <row r="58" spans="1:8">
      <c r="A58" s="4">
        <v>1983</v>
      </c>
      <c r="B58">
        <v>6</v>
      </c>
      <c r="C58">
        <v>345.76</v>
      </c>
      <c r="D58" t="s">
        <v>117</v>
      </c>
      <c r="E58" s="1">
        <v>20</v>
      </c>
      <c r="F58" t="s">
        <v>21</v>
      </c>
      <c r="G58" t="s">
        <v>101</v>
      </c>
      <c r="H58" s="3">
        <f t="shared" si="2"/>
        <v>30468</v>
      </c>
    </row>
    <row r="59" spans="1:8">
      <c r="A59" s="4">
        <v>1983</v>
      </c>
      <c r="B59">
        <v>7</v>
      </c>
      <c r="C59">
        <v>344.32</v>
      </c>
      <c r="D59" t="s">
        <v>118</v>
      </c>
      <c r="E59" s="1">
        <v>22</v>
      </c>
      <c r="F59" t="s">
        <v>51</v>
      </c>
      <c r="G59" t="s">
        <v>40</v>
      </c>
      <c r="H59" s="3">
        <f t="shared" si="2"/>
        <v>30498</v>
      </c>
    </row>
    <row r="60" spans="1:8">
      <c r="A60" s="4">
        <v>1983</v>
      </c>
      <c r="B60">
        <v>8</v>
      </c>
      <c r="C60">
        <v>342.51</v>
      </c>
      <c r="D60" t="s">
        <v>119</v>
      </c>
      <c r="E60" s="1">
        <v>16</v>
      </c>
      <c r="F60" t="s">
        <v>120</v>
      </c>
      <c r="G60" t="s">
        <v>2</v>
      </c>
      <c r="H60" s="3">
        <f t="shared" si="2"/>
        <v>30529</v>
      </c>
    </row>
    <row r="61" spans="1:8">
      <c r="A61" s="4">
        <v>1983</v>
      </c>
      <c r="B61">
        <v>9</v>
      </c>
      <c r="C61">
        <v>340.46</v>
      </c>
      <c r="D61" t="s">
        <v>121</v>
      </c>
      <c r="E61" s="1">
        <v>15</v>
      </c>
      <c r="F61" t="s">
        <v>32</v>
      </c>
      <c r="G61" t="s">
        <v>7</v>
      </c>
      <c r="H61" s="3">
        <f t="shared" si="2"/>
        <v>30560</v>
      </c>
    </row>
    <row r="62" spans="1:8">
      <c r="A62" s="4">
        <v>1983</v>
      </c>
      <c r="B62">
        <v>10</v>
      </c>
      <c r="C62">
        <v>340.53</v>
      </c>
      <c r="D62" t="s">
        <v>122</v>
      </c>
      <c r="E62" s="1">
        <v>20</v>
      </c>
      <c r="F62" t="s">
        <v>89</v>
      </c>
      <c r="G62" t="s">
        <v>101</v>
      </c>
      <c r="H62" s="3">
        <f t="shared" si="2"/>
        <v>30590</v>
      </c>
    </row>
    <row r="63" spans="1:8">
      <c r="A63" s="4">
        <v>1983</v>
      </c>
      <c r="B63">
        <v>11</v>
      </c>
      <c r="C63">
        <v>341.79</v>
      </c>
      <c r="D63" t="s">
        <v>123</v>
      </c>
      <c r="E63" s="1">
        <v>27</v>
      </c>
      <c r="F63" t="s">
        <v>13</v>
      </c>
      <c r="G63" t="s">
        <v>14</v>
      </c>
      <c r="H63" s="3">
        <f t="shared" si="2"/>
        <v>30621</v>
      </c>
    </row>
    <row r="64" spans="1:8">
      <c r="A64" s="4">
        <v>1983</v>
      </c>
      <c r="B64">
        <v>12</v>
      </c>
      <c r="C64">
        <v>343.2</v>
      </c>
      <c r="D64" t="s">
        <v>124</v>
      </c>
      <c r="E64" s="1">
        <v>21</v>
      </c>
      <c r="F64" t="s">
        <v>7</v>
      </c>
      <c r="G64" t="s">
        <v>8</v>
      </c>
      <c r="H64" s="3">
        <f t="shared" si="2"/>
        <v>30651</v>
      </c>
    </row>
    <row r="65" spans="1:8">
      <c r="A65" s="4">
        <v>1984</v>
      </c>
      <c r="B65">
        <v>1</v>
      </c>
      <c r="C65">
        <v>344.21</v>
      </c>
      <c r="D65" t="s">
        <v>125</v>
      </c>
      <c r="E65" s="1">
        <v>23</v>
      </c>
      <c r="F65" t="s">
        <v>126</v>
      </c>
      <c r="G65" t="s">
        <v>46</v>
      </c>
      <c r="H65" s="3">
        <f t="shared" si="2"/>
        <v>30682</v>
      </c>
    </row>
    <row r="66" spans="1:8">
      <c r="A66" s="4">
        <v>1984</v>
      </c>
      <c r="B66">
        <v>2</v>
      </c>
      <c r="C66">
        <v>344.92</v>
      </c>
      <c r="D66" t="s">
        <v>127</v>
      </c>
      <c r="E66" s="1">
        <v>23</v>
      </c>
      <c r="F66" t="s">
        <v>113</v>
      </c>
      <c r="G66" t="s">
        <v>101</v>
      </c>
      <c r="H66" s="3">
        <f t="shared" si="2"/>
        <v>30713</v>
      </c>
    </row>
    <row r="67" spans="1:8">
      <c r="A67" s="4">
        <v>1984</v>
      </c>
      <c r="B67">
        <v>3</v>
      </c>
      <c r="C67">
        <v>345.68</v>
      </c>
      <c r="D67" t="s">
        <v>128</v>
      </c>
      <c r="E67" s="1">
        <v>19</v>
      </c>
      <c r="F67" t="s">
        <v>21</v>
      </c>
      <c r="G67" t="s">
        <v>101</v>
      </c>
      <c r="H67" s="3">
        <f t="shared" si="2"/>
        <v>30742</v>
      </c>
    </row>
    <row r="68" spans="1:8">
      <c r="A68" s="4">
        <v>1984</v>
      </c>
      <c r="B68">
        <v>4</v>
      </c>
      <c r="C68">
        <v>347.37</v>
      </c>
      <c r="D68" t="s">
        <v>129</v>
      </c>
      <c r="E68" s="1">
        <v>2</v>
      </c>
      <c r="F68" t="s">
        <v>130</v>
      </c>
      <c r="G68" t="s">
        <v>131</v>
      </c>
      <c r="H68" s="3">
        <f t="shared" si="2"/>
        <v>30773</v>
      </c>
    </row>
    <row r="69" spans="1:8">
      <c r="A69" s="4">
        <v>1984</v>
      </c>
      <c r="B69">
        <v>5</v>
      </c>
      <c r="C69">
        <v>347.77</v>
      </c>
      <c r="D69" t="s">
        <v>132</v>
      </c>
      <c r="E69" s="1">
        <v>20</v>
      </c>
      <c r="F69" t="s">
        <v>45</v>
      </c>
      <c r="G69" t="s">
        <v>54</v>
      </c>
      <c r="H69" s="3">
        <f t="shared" si="2"/>
        <v>30803</v>
      </c>
    </row>
    <row r="70" spans="1:8">
      <c r="A70" s="4">
        <v>1984</v>
      </c>
      <c r="B70">
        <v>6</v>
      </c>
      <c r="C70">
        <v>347.16</v>
      </c>
      <c r="D70" t="s">
        <v>133</v>
      </c>
      <c r="E70" s="1">
        <v>20</v>
      </c>
      <c r="F70" t="s">
        <v>89</v>
      </c>
      <c r="G70" t="s">
        <v>101</v>
      </c>
      <c r="H70" s="3">
        <f t="shared" si="2"/>
        <v>30834</v>
      </c>
    </row>
    <row r="71" spans="1:8">
      <c r="A71" s="4">
        <v>1984</v>
      </c>
      <c r="B71">
        <v>7</v>
      </c>
      <c r="C71">
        <v>345.79</v>
      </c>
      <c r="D71" t="s">
        <v>134</v>
      </c>
      <c r="E71" s="1">
        <v>18</v>
      </c>
      <c r="F71" t="s">
        <v>13</v>
      </c>
      <c r="G71" t="s">
        <v>35</v>
      </c>
      <c r="H71" s="3">
        <f t="shared" si="2"/>
        <v>30864</v>
      </c>
    </row>
    <row r="72" spans="1:8">
      <c r="A72" s="4">
        <v>1984</v>
      </c>
      <c r="B72">
        <v>8</v>
      </c>
      <c r="C72">
        <v>343.74</v>
      </c>
      <c r="D72" t="s">
        <v>135</v>
      </c>
      <c r="E72" s="1">
        <v>12</v>
      </c>
      <c r="F72" t="s">
        <v>136</v>
      </c>
      <c r="G72" t="s">
        <v>7</v>
      </c>
      <c r="H72" s="3">
        <f t="shared" si="2"/>
        <v>30895</v>
      </c>
    </row>
    <row r="73" spans="1:8">
      <c r="A73" s="4">
        <v>1984</v>
      </c>
      <c r="B73">
        <v>9</v>
      </c>
      <c r="C73">
        <v>341.59</v>
      </c>
      <c r="D73" t="s">
        <v>137</v>
      </c>
      <c r="E73" s="1">
        <v>14</v>
      </c>
      <c r="F73" t="s">
        <v>138</v>
      </c>
      <c r="G73" t="s">
        <v>98</v>
      </c>
      <c r="H73" s="3">
        <f t="shared" si="2"/>
        <v>30926</v>
      </c>
    </row>
    <row r="74" spans="1:8">
      <c r="A74" s="4">
        <v>1984</v>
      </c>
      <c r="B74">
        <v>10</v>
      </c>
      <c r="C74">
        <v>341.86</v>
      </c>
      <c r="D74" t="s">
        <v>139</v>
      </c>
      <c r="E74" s="1">
        <v>12</v>
      </c>
      <c r="F74" t="s">
        <v>140</v>
      </c>
      <c r="G74" t="s">
        <v>19</v>
      </c>
      <c r="H74" s="3">
        <f t="shared" si="2"/>
        <v>30956</v>
      </c>
    </row>
    <row r="75" spans="1:8">
      <c r="A75" s="4">
        <v>1984</v>
      </c>
      <c r="B75">
        <v>11</v>
      </c>
      <c r="C75">
        <v>343.31</v>
      </c>
      <c r="D75" t="s">
        <v>141</v>
      </c>
      <c r="E75" s="1">
        <v>18</v>
      </c>
      <c r="F75" t="s">
        <v>95</v>
      </c>
      <c r="G75" t="s">
        <v>77</v>
      </c>
      <c r="H75" s="3">
        <f t="shared" si="2"/>
        <v>30987</v>
      </c>
    </row>
    <row r="76" spans="1:8">
      <c r="A76" s="4">
        <v>1984</v>
      </c>
      <c r="B76">
        <v>12</v>
      </c>
      <c r="C76">
        <v>345</v>
      </c>
      <c r="D76" t="s">
        <v>142</v>
      </c>
      <c r="E76" s="1">
        <v>14</v>
      </c>
      <c r="F76" t="s">
        <v>143</v>
      </c>
      <c r="G76" t="s">
        <v>144</v>
      </c>
      <c r="H76" s="3">
        <f t="shared" si="2"/>
        <v>31017</v>
      </c>
    </row>
    <row r="77" spans="1:8">
      <c r="A77" s="4">
        <v>1985</v>
      </c>
      <c r="B77">
        <v>1</v>
      </c>
      <c r="C77">
        <v>345.48</v>
      </c>
      <c r="D77" t="s">
        <v>145</v>
      </c>
      <c r="E77" s="1">
        <v>25</v>
      </c>
      <c r="F77" t="s">
        <v>146</v>
      </c>
      <c r="G77" t="s">
        <v>5</v>
      </c>
      <c r="H77" s="3">
        <f t="shared" si="2"/>
        <v>31048</v>
      </c>
    </row>
    <row r="78" spans="1:8">
      <c r="A78" s="4">
        <v>1985</v>
      </c>
      <c r="B78">
        <v>2</v>
      </c>
      <c r="C78">
        <v>346.41</v>
      </c>
      <c r="D78" t="s">
        <v>147</v>
      </c>
      <c r="E78" s="1">
        <v>15</v>
      </c>
      <c r="F78" t="s">
        <v>98</v>
      </c>
      <c r="G78" t="s">
        <v>54</v>
      </c>
      <c r="H78" s="3">
        <f t="shared" si="2"/>
        <v>31079</v>
      </c>
    </row>
    <row r="79" spans="1:8">
      <c r="A79" s="4">
        <v>1985</v>
      </c>
      <c r="B79">
        <v>3</v>
      </c>
      <c r="C79">
        <v>347.91</v>
      </c>
      <c r="D79" t="s">
        <v>148</v>
      </c>
      <c r="E79" s="1">
        <v>17</v>
      </c>
      <c r="F79" t="s">
        <v>4</v>
      </c>
      <c r="G79" t="s">
        <v>46</v>
      </c>
      <c r="H79" s="3">
        <f t="shared" si="2"/>
        <v>31107</v>
      </c>
    </row>
    <row r="80" spans="1:8">
      <c r="A80" s="4">
        <v>1985</v>
      </c>
      <c r="B80">
        <v>4</v>
      </c>
      <c r="C80">
        <v>348.66</v>
      </c>
      <c r="D80" t="s">
        <v>149</v>
      </c>
      <c r="E80" s="1">
        <v>21</v>
      </c>
      <c r="F80" t="s">
        <v>103</v>
      </c>
      <c r="G80" t="s">
        <v>7</v>
      </c>
      <c r="H80" s="3">
        <f t="shared" si="2"/>
        <v>31138</v>
      </c>
    </row>
    <row r="81" spans="1:8">
      <c r="A81" s="4">
        <v>1985</v>
      </c>
      <c r="B81">
        <v>5</v>
      </c>
      <c r="C81">
        <v>349.28</v>
      </c>
      <c r="D81" t="s">
        <v>150</v>
      </c>
      <c r="E81" s="1">
        <v>20</v>
      </c>
      <c r="F81" t="s">
        <v>116</v>
      </c>
      <c r="G81" t="s">
        <v>33</v>
      </c>
      <c r="H81" s="3">
        <f t="shared" si="2"/>
        <v>31168</v>
      </c>
    </row>
    <row r="82" spans="1:8">
      <c r="A82" s="4">
        <v>1985</v>
      </c>
      <c r="B82">
        <v>6</v>
      </c>
      <c r="C82">
        <v>348.65</v>
      </c>
      <c r="D82" t="s">
        <v>151</v>
      </c>
      <c r="E82" s="1">
        <v>21</v>
      </c>
      <c r="F82" t="s">
        <v>4</v>
      </c>
      <c r="G82" t="s">
        <v>5</v>
      </c>
      <c r="H82" s="3">
        <f t="shared" si="2"/>
        <v>31199</v>
      </c>
    </row>
    <row r="83" spans="1:8">
      <c r="A83" s="4">
        <v>1985</v>
      </c>
      <c r="B83">
        <v>7</v>
      </c>
      <c r="C83">
        <v>346.9</v>
      </c>
      <c r="D83" t="s">
        <v>149</v>
      </c>
      <c r="E83" s="1">
        <v>17</v>
      </c>
      <c r="F83" t="s">
        <v>140</v>
      </c>
      <c r="G83" t="s">
        <v>62</v>
      </c>
      <c r="H83" s="3">
        <f t="shared" ref="H83:H114" si="3">DATE(A83,B83,1)</f>
        <v>31229</v>
      </c>
    </row>
    <row r="84" spans="1:8">
      <c r="A84" s="4">
        <v>1985</v>
      </c>
      <c r="B84">
        <v>8</v>
      </c>
      <c r="C84">
        <v>345.26</v>
      </c>
      <c r="D84" t="s">
        <v>152</v>
      </c>
      <c r="E84" s="1">
        <v>16</v>
      </c>
      <c r="F84" t="s">
        <v>51</v>
      </c>
      <c r="G84" t="s">
        <v>144</v>
      </c>
      <c r="H84" s="3">
        <f t="shared" si="3"/>
        <v>31260</v>
      </c>
    </row>
    <row r="85" spans="1:8">
      <c r="A85" s="4">
        <v>1985</v>
      </c>
      <c r="B85">
        <v>9</v>
      </c>
      <c r="C85">
        <v>343.47</v>
      </c>
      <c r="D85" t="s">
        <v>153</v>
      </c>
      <c r="E85" s="1">
        <v>24</v>
      </c>
      <c r="F85" t="s">
        <v>51</v>
      </c>
      <c r="G85" t="s">
        <v>33</v>
      </c>
      <c r="H85" s="3">
        <f t="shared" si="3"/>
        <v>31291</v>
      </c>
    </row>
    <row r="86" spans="1:8">
      <c r="A86" s="4">
        <v>1985</v>
      </c>
      <c r="B86">
        <v>10</v>
      </c>
      <c r="C86">
        <v>343.35</v>
      </c>
      <c r="D86" t="s">
        <v>154</v>
      </c>
      <c r="E86" s="1">
        <v>20</v>
      </c>
      <c r="F86" t="s">
        <v>43</v>
      </c>
      <c r="G86" t="s">
        <v>101</v>
      </c>
      <c r="H86" s="3">
        <f t="shared" si="3"/>
        <v>31321</v>
      </c>
    </row>
    <row r="87" spans="1:8">
      <c r="A87" s="4">
        <v>1985</v>
      </c>
      <c r="B87">
        <v>11</v>
      </c>
      <c r="C87">
        <v>344.73</v>
      </c>
      <c r="D87" t="s">
        <v>155</v>
      </c>
      <c r="E87" s="1">
        <v>21</v>
      </c>
      <c r="F87" t="s">
        <v>126</v>
      </c>
      <c r="G87" t="s">
        <v>62</v>
      </c>
      <c r="H87" s="3">
        <f t="shared" si="3"/>
        <v>31352</v>
      </c>
    </row>
    <row r="88" spans="1:8">
      <c r="A88" s="4">
        <v>1985</v>
      </c>
      <c r="B88">
        <v>12</v>
      </c>
      <c r="C88">
        <v>346.12</v>
      </c>
      <c r="D88" t="s">
        <v>156</v>
      </c>
      <c r="E88" s="1">
        <v>26</v>
      </c>
      <c r="F88" t="s">
        <v>157</v>
      </c>
      <c r="G88" t="s">
        <v>40</v>
      </c>
      <c r="H88" s="3">
        <f t="shared" si="3"/>
        <v>31382</v>
      </c>
    </row>
    <row r="89" spans="1:8">
      <c r="A89" s="4">
        <v>1986</v>
      </c>
      <c r="B89">
        <v>1</v>
      </c>
      <c r="C89">
        <v>346.78</v>
      </c>
      <c r="D89" t="s">
        <v>155</v>
      </c>
      <c r="E89" s="1">
        <v>25</v>
      </c>
      <c r="F89" t="s">
        <v>89</v>
      </c>
      <c r="G89" t="s">
        <v>14</v>
      </c>
      <c r="H89" s="3">
        <f t="shared" si="3"/>
        <v>31413</v>
      </c>
    </row>
    <row r="90" spans="1:8">
      <c r="A90" s="4">
        <v>1986</v>
      </c>
      <c r="B90">
        <v>2</v>
      </c>
      <c r="C90">
        <v>347.48</v>
      </c>
      <c r="D90" t="s">
        <v>158</v>
      </c>
      <c r="E90" s="1">
        <v>25</v>
      </c>
      <c r="F90" t="s">
        <v>136</v>
      </c>
      <c r="G90" t="s">
        <v>62</v>
      </c>
      <c r="H90" s="3">
        <f t="shared" si="3"/>
        <v>31444</v>
      </c>
    </row>
    <row r="91" spans="1:8">
      <c r="A91" s="4">
        <v>1986</v>
      </c>
      <c r="B91">
        <v>3</v>
      </c>
      <c r="C91">
        <v>348.25</v>
      </c>
      <c r="D91" t="s">
        <v>159</v>
      </c>
      <c r="E91" s="1">
        <v>16</v>
      </c>
      <c r="F91" t="s">
        <v>160</v>
      </c>
      <c r="G91" t="s">
        <v>4</v>
      </c>
      <c r="H91" s="3">
        <f t="shared" si="3"/>
        <v>31472</v>
      </c>
    </row>
    <row r="92" spans="1:8">
      <c r="A92" s="4">
        <v>1986</v>
      </c>
      <c r="B92">
        <v>4</v>
      </c>
      <c r="C92">
        <v>349.86</v>
      </c>
      <c r="D92" t="s">
        <v>161</v>
      </c>
      <c r="E92" s="1">
        <v>19</v>
      </c>
      <c r="F92" t="s">
        <v>146</v>
      </c>
      <c r="G92" t="s">
        <v>62</v>
      </c>
      <c r="H92" s="3">
        <f t="shared" si="3"/>
        <v>31503</v>
      </c>
    </row>
    <row r="93" spans="1:8">
      <c r="A93" s="4">
        <v>1986</v>
      </c>
      <c r="B93">
        <v>5</v>
      </c>
      <c r="C93">
        <v>350.52</v>
      </c>
      <c r="D93" t="s">
        <v>162</v>
      </c>
      <c r="E93" s="1">
        <v>18</v>
      </c>
      <c r="F93" t="s">
        <v>89</v>
      </c>
      <c r="G93" t="s">
        <v>5</v>
      </c>
      <c r="H93" s="3">
        <f t="shared" si="3"/>
        <v>31533</v>
      </c>
    </row>
    <row r="94" spans="1:8">
      <c r="A94" s="4">
        <v>1986</v>
      </c>
      <c r="B94">
        <v>6</v>
      </c>
      <c r="C94">
        <v>349.98</v>
      </c>
      <c r="D94" t="s">
        <v>163</v>
      </c>
      <c r="E94" s="1">
        <v>17</v>
      </c>
      <c r="F94" t="s">
        <v>7</v>
      </c>
      <c r="G94" t="s">
        <v>22</v>
      </c>
      <c r="H94" s="3">
        <f t="shared" si="3"/>
        <v>31564</v>
      </c>
    </row>
    <row r="95" spans="1:8">
      <c r="A95" s="4">
        <v>1986</v>
      </c>
      <c r="B95">
        <v>7</v>
      </c>
      <c r="C95">
        <v>348.25</v>
      </c>
      <c r="D95" t="s">
        <v>164</v>
      </c>
      <c r="E95" s="1">
        <v>20</v>
      </c>
      <c r="F95" t="s">
        <v>109</v>
      </c>
      <c r="G95" t="s">
        <v>19</v>
      </c>
      <c r="H95" s="3">
        <f t="shared" si="3"/>
        <v>31594</v>
      </c>
    </row>
    <row r="96" spans="1:8">
      <c r="A96" s="4">
        <v>1986</v>
      </c>
      <c r="B96">
        <v>8</v>
      </c>
      <c r="C96">
        <v>346.17</v>
      </c>
      <c r="D96" t="s">
        <v>165</v>
      </c>
      <c r="E96" s="1">
        <v>18</v>
      </c>
      <c r="F96" t="s">
        <v>76</v>
      </c>
      <c r="G96" t="s">
        <v>59</v>
      </c>
      <c r="H96" s="3">
        <f t="shared" si="3"/>
        <v>31625</v>
      </c>
    </row>
    <row r="97" spans="1:8">
      <c r="A97" s="4">
        <v>1986</v>
      </c>
      <c r="B97">
        <v>9</v>
      </c>
      <c r="C97">
        <v>345.48</v>
      </c>
      <c r="D97" t="s">
        <v>166</v>
      </c>
      <c r="E97" s="1">
        <v>17</v>
      </c>
      <c r="F97" t="s">
        <v>25</v>
      </c>
      <c r="G97" t="s">
        <v>43</v>
      </c>
      <c r="H97" s="3">
        <f t="shared" si="3"/>
        <v>31656</v>
      </c>
    </row>
    <row r="98" spans="1:8">
      <c r="A98" s="4">
        <v>1986</v>
      </c>
      <c r="B98">
        <v>10</v>
      </c>
      <c r="C98">
        <v>344.82</v>
      </c>
      <c r="D98" t="s">
        <v>167</v>
      </c>
      <c r="E98" s="1">
        <v>25</v>
      </c>
      <c r="F98" t="s">
        <v>113</v>
      </c>
      <c r="G98" t="s">
        <v>14</v>
      </c>
      <c r="H98" s="3">
        <f t="shared" si="3"/>
        <v>31686</v>
      </c>
    </row>
    <row r="99" spans="1:8">
      <c r="A99" s="4">
        <v>1986</v>
      </c>
      <c r="B99">
        <v>11</v>
      </c>
      <c r="C99">
        <v>346.22</v>
      </c>
      <c r="D99" t="s">
        <v>168</v>
      </c>
      <c r="E99" s="1">
        <v>21</v>
      </c>
      <c r="F99" t="s">
        <v>21</v>
      </c>
      <c r="G99" t="s">
        <v>101</v>
      </c>
      <c r="H99" s="3">
        <f t="shared" si="3"/>
        <v>31717</v>
      </c>
    </row>
    <row r="100" spans="1:8">
      <c r="A100" s="4">
        <v>1986</v>
      </c>
      <c r="B100">
        <v>12</v>
      </c>
      <c r="C100">
        <v>347.48</v>
      </c>
      <c r="D100" t="s">
        <v>169</v>
      </c>
      <c r="E100" s="1">
        <v>24</v>
      </c>
      <c r="F100" t="s">
        <v>2</v>
      </c>
      <c r="G100" t="s">
        <v>5</v>
      </c>
      <c r="H100" s="3">
        <f t="shared" si="3"/>
        <v>31747</v>
      </c>
    </row>
    <row r="101" spans="1:8">
      <c r="A101" s="4">
        <v>1987</v>
      </c>
      <c r="B101">
        <v>1</v>
      </c>
      <c r="C101">
        <v>348.73</v>
      </c>
      <c r="D101" t="s">
        <v>170</v>
      </c>
      <c r="E101" s="1">
        <v>25</v>
      </c>
      <c r="F101" t="s">
        <v>79</v>
      </c>
      <c r="G101" t="s">
        <v>62</v>
      </c>
      <c r="H101" s="3">
        <f t="shared" si="3"/>
        <v>31778</v>
      </c>
    </row>
    <row r="102" spans="1:8">
      <c r="A102" s="4">
        <v>1987</v>
      </c>
      <c r="B102">
        <v>2</v>
      </c>
      <c r="C102">
        <v>348.92</v>
      </c>
      <c r="D102" t="s">
        <v>171</v>
      </c>
      <c r="E102" s="1">
        <v>25</v>
      </c>
      <c r="F102" t="s">
        <v>172</v>
      </c>
      <c r="G102" t="s">
        <v>33</v>
      </c>
      <c r="H102" s="3">
        <f t="shared" si="3"/>
        <v>31809</v>
      </c>
    </row>
    <row r="103" spans="1:8">
      <c r="A103" s="4">
        <v>1987</v>
      </c>
      <c r="B103">
        <v>3</v>
      </c>
      <c r="C103">
        <v>349.81</v>
      </c>
      <c r="D103" t="s">
        <v>173</v>
      </c>
      <c r="E103" s="1">
        <v>21</v>
      </c>
      <c r="F103" t="s">
        <v>2</v>
      </c>
      <c r="G103" t="s">
        <v>35</v>
      </c>
      <c r="H103" s="3">
        <f t="shared" si="3"/>
        <v>31837</v>
      </c>
    </row>
    <row r="104" spans="1:8">
      <c r="A104" s="4">
        <v>1987</v>
      </c>
      <c r="B104">
        <v>4</v>
      </c>
      <c r="C104">
        <v>351.4</v>
      </c>
      <c r="D104" t="s">
        <v>174</v>
      </c>
      <c r="E104" s="1">
        <v>26</v>
      </c>
      <c r="F104" t="s">
        <v>175</v>
      </c>
      <c r="G104" t="s">
        <v>7</v>
      </c>
      <c r="H104" s="3">
        <f t="shared" si="3"/>
        <v>31868</v>
      </c>
    </row>
    <row r="105" spans="1:8">
      <c r="A105" s="4">
        <v>1987</v>
      </c>
      <c r="B105">
        <v>5</v>
      </c>
      <c r="C105">
        <v>352.15</v>
      </c>
      <c r="D105" t="s">
        <v>176</v>
      </c>
      <c r="E105" s="1">
        <v>28</v>
      </c>
      <c r="F105" t="s">
        <v>98</v>
      </c>
      <c r="G105" t="s">
        <v>101</v>
      </c>
      <c r="H105" s="3">
        <f t="shared" si="3"/>
        <v>31898</v>
      </c>
    </row>
    <row r="106" spans="1:8">
      <c r="A106" s="4">
        <v>1987</v>
      </c>
      <c r="B106">
        <v>6</v>
      </c>
      <c r="C106">
        <v>351.58</v>
      </c>
      <c r="D106" t="s">
        <v>177</v>
      </c>
      <c r="E106" s="1">
        <v>22</v>
      </c>
      <c r="F106" t="s">
        <v>59</v>
      </c>
      <c r="G106" t="s">
        <v>49</v>
      </c>
      <c r="H106" s="3">
        <f t="shared" si="3"/>
        <v>31929</v>
      </c>
    </row>
    <row r="107" spans="1:8">
      <c r="A107" s="4">
        <v>1987</v>
      </c>
      <c r="B107">
        <v>7</v>
      </c>
      <c r="C107">
        <v>350.21</v>
      </c>
      <c r="D107" t="s">
        <v>178</v>
      </c>
      <c r="E107" s="1">
        <v>17</v>
      </c>
      <c r="F107" t="s">
        <v>120</v>
      </c>
      <c r="G107" t="s">
        <v>4</v>
      </c>
      <c r="H107" s="3">
        <f t="shared" si="3"/>
        <v>31959</v>
      </c>
    </row>
    <row r="108" spans="1:8">
      <c r="A108" s="4">
        <v>1987</v>
      </c>
      <c r="B108">
        <v>8</v>
      </c>
      <c r="C108">
        <v>348.2</v>
      </c>
      <c r="D108" t="s">
        <v>179</v>
      </c>
      <c r="E108" s="1">
        <v>15</v>
      </c>
      <c r="F108" t="s">
        <v>180</v>
      </c>
      <c r="G108" t="s">
        <v>45</v>
      </c>
      <c r="H108" s="3">
        <f t="shared" si="3"/>
        <v>31990</v>
      </c>
    </row>
    <row r="109" spans="1:8">
      <c r="A109" s="4">
        <v>1987</v>
      </c>
      <c r="B109">
        <v>9</v>
      </c>
      <c r="C109">
        <v>346.66</v>
      </c>
      <c r="D109" t="s">
        <v>181</v>
      </c>
      <c r="E109" s="1">
        <v>23</v>
      </c>
      <c r="F109" t="s">
        <v>103</v>
      </c>
      <c r="G109" t="s">
        <v>182</v>
      </c>
      <c r="H109" s="3">
        <f t="shared" si="3"/>
        <v>32021</v>
      </c>
    </row>
    <row r="110" spans="1:8">
      <c r="A110" s="4">
        <v>1987</v>
      </c>
      <c r="B110">
        <v>10</v>
      </c>
      <c r="C110">
        <v>346.72</v>
      </c>
      <c r="D110" t="s">
        <v>183</v>
      </c>
      <c r="E110" s="1">
        <v>22</v>
      </c>
      <c r="F110" t="s">
        <v>95</v>
      </c>
      <c r="G110" t="s">
        <v>62</v>
      </c>
      <c r="H110" s="3">
        <f t="shared" si="3"/>
        <v>32051</v>
      </c>
    </row>
    <row r="111" spans="1:8">
      <c r="A111" s="4">
        <v>1987</v>
      </c>
      <c r="B111">
        <v>11</v>
      </c>
      <c r="C111">
        <v>348.08</v>
      </c>
      <c r="D111" t="s">
        <v>184</v>
      </c>
      <c r="E111" s="1">
        <v>23</v>
      </c>
      <c r="F111" t="s">
        <v>13</v>
      </c>
      <c r="G111" t="s">
        <v>101</v>
      </c>
      <c r="H111" s="3">
        <f t="shared" si="3"/>
        <v>32082</v>
      </c>
    </row>
    <row r="112" spans="1:8">
      <c r="A112" s="4">
        <v>1987</v>
      </c>
      <c r="B112">
        <v>12</v>
      </c>
      <c r="C112">
        <v>349.28</v>
      </c>
      <c r="D112" t="s">
        <v>185</v>
      </c>
      <c r="E112" s="1">
        <v>27</v>
      </c>
      <c r="F112" t="s">
        <v>19</v>
      </c>
      <c r="G112" t="s">
        <v>186</v>
      </c>
      <c r="H112" s="3">
        <f t="shared" si="3"/>
        <v>32112</v>
      </c>
    </row>
    <row r="113" spans="1:8">
      <c r="A113" s="4">
        <v>1988</v>
      </c>
      <c r="B113">
        <v>1</v>
      </c>
      <c r="C113">
        <v>350.51</v>
      </c>
      <c r="D113" t="s">
        <v>187</v>
      </c>
      <c r="E113" s="1">
        <v>24</v>
      </c>
      <c r="F113" t="s">
        <v>59</v>
      </c>
      <c r="G113" t="s">
        <v>186</v>
      </c>
      <c r="H113" s="3">
        <f t="shared" si="3"/>
        <v>32143</v>
      </c>
    </row>
    <row r="114" spans="1:8">
      <c r="A114" s="4">
        <v>1988</v>
      </c>
      <c r="B114">
        <v>2</v>
      </c>
      <c r="C114">
        <v>351.7</v>
      </c>
      <c r="D114" t="s">
        <v>188</v>
      </c>
      <c r="E114" s="1">
        <v>23</v>
      </c>
      <c r="F114" t="s">
        <v>51</v>
      </c>
      <c r="G114" t="s">
        <v>40</v>
      </c>
      <c r="H114" s="3">
        <f t="shared" si="3"/>
        <v>32174</v>
      </c>
    </row>
    <row r="115" spans="1:8">
      <c r="A115" s="4">
        <v>1988</v>
      </c>
      <c r="B115">
        <v>3</v>
      </c>
      <c r="C115">
        <v>352.5</v>
      </c>
      <c r="D115" t="s">
        <v>188</v>
      </c>
      <c r="E115" s="1">
        <v>25</v>
      </c>
      <c r="F115" t="s">
        <v>189</v>
      </c>
      <c r="G115" t="s">
        <v>21</v>
      </c>
      <c r="H115" s="3">
        <f t="shared" ref="H115:H130" si="4">DATE(A115,B115,1)</f>
        <v>32203</v>
      </c>
    </row>
    <row r="116" spans="1:8">
      <c r="A116" s="4">
        <v>1988</v>
      </c>
      <c r="B116">
        <v>4</v>
      </c>
      <c r="C116">
        <v>353.67</v>
      </c>
      <c r="D116" t="s">
        <v>190</v>
      </c>
      <c r="E116" s="1">
        <v>27</v>
      </c>
      <c r="F116" t="s">
        <v>76</v>
      </c>
      <c r="G116" t="s">
        <v>54</v>
      </c>
      <c r="H116" s="3">
        <f t="shared" si="4"/>
        <v>32234</v>
      </c>
    </row>
    <row r="117" spans="1:8">
      <c r="A117" s="4">
        <v>1988</v>
      </c>
      <c r="B117">
        <v>5</v>
      </c>
      <c r="C117">
        <v>354.35</v>
      </c>
      <c r="D117" t="s">
        <v>191</v>
      </c>
      <c r="E117" s="1">
        <v>28</v>
      </c>
      <c r="F117" t="s">
        <v>98</v>
      </c>
      <c r="G117" t="s">
        <v>101</v>
      </c>
      <c r="H117" s="3">
        <f t="shared" si="4"/>
        <v>32264</v>
      </c>
    </row>
    <row r="118" spans="1:8">
      <c r="A118" s="4">
        <v>1988</v>
      </c>
      <c r="B118">
        <v>6</v>
      </c>
      <c r="C118">
        <v>353.88</v>
      </c>
      <c r="D118" t="s">
        <v>192</v>
      </c>
      <c r="E118" s="1">
        <v>26</v>
      </c>
      <c r="F118" t="s">
        <v>21</v>
      </c>
      <c r="G118" t="s">
        <v>22</v>
      </c>
      <c r="H118" s="3">
        <f t="shared" si="4"/>
        <v>32295</v>
      </c>
    </row>
    <row r="119" spans="1:8">
      <c r="A119" s="4">
        <v>1988</v>
      </c>
      <c r="B119">
        <v>7</v>
      </c>
      <c r="C119">
        <v>352.8</v>
      </c>
      <c r="D119" t="s">
        <v>193</v>
      </c>
      <c r="E119" s="1">
        <v>27</v>
      </c>
      <c r="F119" t="s">
        <v>53</v>
      </c>
      <c r="G119" t="s">
        <v>54</v>
      </c>
      <c r="H119" s="3">
        <f t="shared" si="4"/>
        <v>32325</v>
      </c>
    </row>
    <row r="120" spans="1:8">
      <c r="A120" s="4">
        <v>1988</v>
      </c>
      <c r="B120">
        <v>8</v>
      </c>
      <c r="C120">
        <v>350.49</v>
      </c>
      <c r="D120" t="s">
        <v>194</v>
      </c>
      <c r="E120" s="1">
        <v>26</v>
      </c>
      <c r="F120" t="s">
        <v>157</v>
      </c>
      <c r="G120" t="s">
        <v>40</v>
      </c>
      <c r="H120" s="3">
        <f t="shared" si="4"/>
        <v>32356</v>
      </c>
    </row>
    <row r="121" spans="1:8">
      <c r="A121" s="4">
        <v>1988</v>
      </c>
      <c r="B121">
        <v>9</v>
      </c>
      <c r="C121">
        <v>348.97</v>
      </c>
      <c r="D121" t="s">
        <v>195</v>
      </c>
      <c r="E121" s="1">
        <v>26</v>
      </c>
      <c r="F121" t="s">
        <v>109</v>
      </c>
      <c r="G121" t="s">
        <v>54</v>
      </c>
      <c r="H121" s="3">
        <f t="shared" si="4"/>
        <v>32387</v>
      </c>
    </row>
    <row r="122" spans="1:8">
      <c r="A122" s="4">
        <v>1988</v>
      </c>
      <c r="B122">
        <v>10</v>
      </c>
      <c r="C122">
        <v>349.37</v>
      </c>
      <c r="D122" t="s">
        <v>196</v>
      </c>
      <c r="E122" s="1">
        <v>26</v>
      </c>
      <c r="F122" t="s">
        <v>89</v>
      </c>
      <c r="G122" t="s">
        <v>14</v>
      </c>
      <c r="H122" s="3">
        <f t="shared" si="4"/>
        <v>32417</v>
      </c>
    </row>
    <row r="123" spans="1:8">
      <c r="A123" s="4">
        <v>1988</v>
      </c>
      <c r="B123">
        <v>11</v>
      </c>
      <c r="C123">
        <v>350.42</v>
      </c>
      <c r="D123" t="s">
        <v>197</v>
      </c>
      <c r="E123" s="1">
        <v>25</v>
      </c>
      <c r="F123" t="s">
        <v>19</v>
      </c>
      <c r="G123" t="s">
        <v>186</v>
      </c>
      <c r="H123" s="3">
        <f t="shared" si="4"/>
        <v>32448</v>
      </c>
    </row>
    <row r="124" spans="1:8">
      <c r="A124" s="4">
        <v>1988</v>
      </c>
      <c r="B124">
        <v>12</v>
      </c>
      <c r="C124">
        <v>351.62</v>
      </c>
      <c r="D124" t="s">
        <v>198</v>
      </c>
      <c r="E124" s="1">
        <v>28</v>
      </c>
      <c r="F124" t="s">
        <v>140</v>
      </c>
      <c r="G124" t="s">
        <v>101</v>
      </c>
      <c r="H124" s="3">
        <f t="shared" si="4"/>
        <v>32478</v>
      </c>
    </row>
    <row r="125" spans="1:8">
      <c r="A125" s="4">
        <v>1989</v>
      </c>
      <c r="B125">
        <v>1</v>
      </c>
      <c r="C125">
        <v>353.07</v>
      </c>
      <c r="D125" t="s">
        <v>199</v>
      </c>
      <c r="E125" s="1">
        <v>28</v>
      </c>
      <c r="F125" t="s">
        <v>136</v>
      </c>
      <c r="G125" t="s">
        <v>46</v>
      </c>
      <c r="H125" s="3">
        <f t="shared" si="4"/>
        <v>32509</v>
      </c>
    </row>
    <row r="126" spans="1:8">
      <c r="A126" s="4">
        <v>1989</v>
      </c>
      <c r="B126">
        <v>2</v>
      </c>
      <c r="C126">
        <v>353.43</v>
      </c>
      <c r="D126" t="s">
        <v>200</v>
      </c>
      <c r="E126" s="1">
        <v>25</v>
      </c>
      <c r="F126" t="s">
        <v>146</v>
      </c>
      <c r="G126" t="s">
        <v>35</v>
      </c>
      <c r="H126" s="3">
        <f t="shared" si="4"/>
        <v>32540</v>
      </c>
    </row>
    <row r="127" spans="1:8">
      <c r="A127" s="4">
        <v>1989</v>
      </c>
      <c r="B127">
        <v>3</v>
      </c>
      <c r="C127">
        <v>354.08</v>
      </c>
      <c r="D127" t="s">
        <v>201</v>
      </c>
      <c r="E127" s="1">
        <v>29</v>
      </c>
      <c r="F127" t="s">
        <v>143</v>
      </c>
      <c r="G127" t="s">
        <v>77</v>
      </c>
      <c r="H127" s="3">
        <f t="shared" si="4"/>
        <v>32568</v>
      </c>
    </row>
    <row r="128" spans="1:8">
      <c r="A128" s="4">
        <v>1989</v>
      </c>
      <c r="B128">
        <v>4</v>
      </c>
      <c r="C128">
        <v>355.72</v>
      </c>
      <c r="D128" t="s">
        <v>202</v>
      </c>
      <c r="E128" s="1">
        <v>28</v>
      </c>
      <c r="F128" t="s">
        <v>109</v>
      </c>
      <c r="G128" t="s">
        <v>62</v>
      </c>
      <c r="H128" s="3">
        <f t="shared" si="4"/>
        <v>32599</v>
      </c>
    </row>
    <row r="129" spans="1:8">
      <c r="A129" s="4">
        <v>1989</v>
      </c>
      <c r="B129">
        <v>5</v>
      </c>
      <c r="C129">
        <v>355.95</v>
      </c>
      <c r="D129" t="s">
        <v>203</v>
      </c>
      <c r="E129" s="1">
        <v>27</v>
      </c>
      <c r="F129" t="s">
        <v>53</v>
      </c>
      <c r="G129" t="s">
        <v>54</v>
      </c>
      <c r="H129" s="3">
        <f t="shared" si="4"/>
        <v>32629</v>
      </c>
    </row>
    <row r="130" spans="1:8">
      <c r="A130" s="10">
        <v>1989</v>
      </c>
      <c r="B130" s="11">
        <v>6</v>
      </c>
      <c r="C130" s="11">
        <v>355.44</v>
      </c>
      <c r="D130" s="11" t="s">
        <v>204</v>
      </c>
      <c r="E130" s="12">
        <v>26</v>
      </c>
      <c r="F130" s="11" t="s">
        <v>45</v>
      </c>
      <c r="G130" s="11" t="s">
        <v>46</v>
      </c>
      <c r="H130" s="3">
        <f t="shared" si="4"/>
        <v>32660</v>
      </c>
    </row>
    <row r="131" spans="1:8" ht="13.5"/>
    <row r="132" spans="1:8" ht="13.5"/>
    <row r="133" spans="1:8" ht="13.5"/>
    <row r="134" spans="1:8" ht="13.5"/>
    <row r="135" spans="1:8" ht="13.5"/>
    <row r="136" spans="1:8" ht="13.5"/>
    <row r="137" spans="1:8" ht="13.5"/>
    <row r="138" spans="1:8" ht="13.5"/>
    <row r="139" spans="1:8" ht="13.5"/>
    <row r="140" spans="1:8" ht="13.5"/>
    <row r="141" spans="1:8" ht="13.5"/>
    <row r="142" spans="1:8" ht="13.5"/>
    <row r="143" spans="1:8" ht="13.5"/>
    <row r="144" spans="1:8" ht="13.5"/>
    <row r="145" ht="13.5"/>
    <row r="146" ht="13.5"/>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zorgülgiller</dc:creator>
  <cp:keywords/>
  <dc:description/>
  <cp:lastModifiedBy/>
  <cp:revision/>
  <dcterms:created xsi:type="dcterms:W3CDTF">2026-10-10T09:22:00Z</dcterms:created>
  <dcterms:modified xsi:type="dcterms:W3CDTF">2026-10-24T16:35:15Z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82D23DA1A5B043B49A108AC3C0469730_13</vt:lpwstr>
  </property>
  <property fmtid="{D5CDD505-2E9C-101B-9397-08002B2CF9AE}" pid="3" name="KSOProductBuildVer">
    <vt:lpwstr>1055-12.1.0.28485</vt:lpwstr>
  </property>
  <property fmtid="{D5CDD505-2E9C-101B-9397-08002B2CF9AE}" pid="4" name="CalculationRule">
    <vt:i4>1</vt:i4>
  </property>
</Properties>
</file>